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480" windowHeight="8520" tabRatio="783" activeTab="3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externalReferences>
    <externalReference r:id="rId8"/>
  </externalReferences>
  <calcPr calcId="144525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</workbook>
</file>

<file path=xl/calcChain.xml><?xml version="1.0" encoding="utf-8"?>
<calcChain xmlns="http://schemas.openxmlformats.org/spreadsheetml/2006/main">
  <c r="G4" i="2" l="1"/>
  <c r="L16" i="3"/>
  <c r="Q16" i="3"/>
  <c r="K14" i="4"/>
  <c r="C3" i="4"/>
  <c r="C4" i="4"/>
  <c r="C5" i="4"/>
  <c r="C6" i="4"/>
  <c r="C7" i="4"/>
  <c r="C8" i="4"/>
  <c r="C9" i="4"/>
  <c r="J30" i="2" s="1"/>
  <c r="C10" i="4"/>
  <c r="C11" i="4"/>
  <c r="C12" i="4"/>
  <c r="C13" i="4"/>
  <c r="K3" i="4"/>
  <c r="K4" i="4"/>
  <c r="K5" i="4"/>
  <c r="K6" i="4"/>
  <c r="K7" i="4"/>
  <c r="K8" i="4"/>
  <c r="K9" i="4"/>
  <c r="K10" i="4"/>
  <c r="K11" i="4"/>
  <c r="K12" i="4"/>
  <c r="K13" i="4"/>
  <c r="L3" i="4"/>
  <c r="L4" i="4"/>
  <c r="L5" i="4"/>
  <c r="L6" i="4"/>
  <c r="L7" i="4"/>
  <c r="L8" i="4"/>
  <c r="L9" i="4"/>
  <c r="L10" i="4"/>
  <c r="L11" i="4"/>
  <c r="L12" i="4"/>
  <c r="L13" i="4"/>
  <c r="C30" i="2"/>
  <c r="E30" i="2"/>
  <c r="I30" i="2"/>
  <c r="K30" i="2"/>
  <c r="C31" i="2"/>
  <c r="E31" i="2"/>
  <c r="C32" i="2"/>
  <c r="E32" i="2"/>
  <c r="C33" i="2"/>
  <c r="E33" i="2"/>
  <c r="K33" i="2" l="1"/>
  <c r="I33" i="2"/>
  <c r="J33" i="2"/>
  <c r="E34" i="2"/>
  <c r="C34" i="2"/>
  <c r="J32" i="2" l="1"/>
  <c r="I32" i="2"/>
  <c r="K32" i="2"/>
  <c r="I13" i="2" l="1"/>
  <c r="K13" i="2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G13" i="2"/>
  <c r="F13" i="2"/>
  <c r="E13" i="2"/>
  <c r="C14" i="2"/>
  <c r="C13" i="2"/>
  <c r="G89" i="7"/>
  <c r="C10" i="2"/>
  <c r="D30" i="2" l="1"/>
  <c r="D31" i="2"/>
  <c r="F33" i="2"/>
  <c r="F32" i="2"/>
  <c r="D32" i="2"/>
  <c r="F30" i="2"/>
  <c r="D33" i="2"/>
  <c r="F31" i="2"/>
  <c r="D6" i="2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<sst xmlns="http://schemas.openxmlformats.org/spreadsheetml/2006/main" count="434" uniqueCount="214">
  <si>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</si>
  <si>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</si>
  <si>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</si>
  <si>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</si>
  <si>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</si>
  <si>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</si>
  <si>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</si>
  <si>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</si>
  <si>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</si>
  <si>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</si>
  <si>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</si>
  <si>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</si>
  <si>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</si>
  <si>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</si>
  <si>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</si>
  <si>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</si>
  <si>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</si>
  <si>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</si>
  <si>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</si>
  <si>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</si>
  <si>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</si>
  <si>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</si>
  <si>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</si>
  <si>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</si>
  <si>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</si>
  <si>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</si>
  <si>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</si>
  <si>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</si>
  <si>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</si>
  <si>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</si>
  <si>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</si>
  <si>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</si>
  <si>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</si>
  <si>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</si>
  <si>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</si>
  <si>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</si>
  <si>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</si>
  <si>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</si>
  <si>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</si>
  <si>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</si>
  <si>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</si>
  <si>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</si>
  <si>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</si>
  <si>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</si>
  <si>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</si>
  <si>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</si>
  <si>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</si>
  <si>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</si>
  <si>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</si>
  <si>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</si>
  <si>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</si>
  <si>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</si>
  <si>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</si>
  <si>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</si>
  <si>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</si>
  <si>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</si>
  <si>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</si>
  <si>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</si>
  <si>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</si>
  <si>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</si>
  <si>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</si>
  <si>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</si>
  <si>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</si>
  <si>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</si>
  <si>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</si>
  <si>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</si>
  <si>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</si>
  <si>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</si>
  <si>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</si>
  <si>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</si>
  <si>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</si>
  <si>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</si>
  <si>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</si>
  <si>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</si>
  <si>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</si>
  <si>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</si>
  <si>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</si>
  <si>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</si>
  <si>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</si>
  <si>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</si>
  <si>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</si>
  <si>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</si>
  <si>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</si>
  <si>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</si>
  <si>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</si>
  <si>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</si>
  <si>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</si>
  <si>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</si>
  <si>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</si>
  <si>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</si>
  <si>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</si>
  <si>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</si>
  <si>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</si>
  <si>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</si>
  <si>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</si>
  <si>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</si>
  <si>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</si>
  <si>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</si>
  <si>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</si>
  <si>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</si>
  <si>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</si>
  <si>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</si>
  <si>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</si>
  <si>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</si>
  <si>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</si>
  <si>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</si>
  <si>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</si>
  <si>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</si>
  <si>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</si>
  <si>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</si>
  <si>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</si>
  <si>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</si>
  <si>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</si>
  <si>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</si>
  <si>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</si>
  <si>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</si>
  <si>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</si>
  <si>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</si>
  <si>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</si>
  <si>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</si>
  <si>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Rótulos de fila</t>
  </si>
  <si>
    <t>Total general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</si>
  <si>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</si>
  <si>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</si>
  <si>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</si>
  <si>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</si>
  <si>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</si>
  <si>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</si>
  <si>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</si>
  <si>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</si>
  <si>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</si>
  <si>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</si>
  <si>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</si>
  <si>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</si>
  <si>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</si>
  <si>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</si>
  <si>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</si>
  <si>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</si>
  <si>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</si>
  <si>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</si>
  <si>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</si>
  <si>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</si>
  <si>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(en blanco)</t>
  </si>
  <si>
    <t>#N/A</t>
  </si>
  <si>
    <t>IT Expert</t>
  </si>
  <si>
    <t>Cliente</t>
  </si>
  <si>
    <t>Empresa QA</t>
  </si>
  <si>
    <t>Responsable Cliente</t>
  </si>
  <si>
    <t>Responsable QA</t>
  </si>
  <si>
    <t>Oscar Castillo</t>
  </si>
  <si>
    <t>CP002</t>
  </si>
  <si>
    <t>CP003</t>
  </si>
  <si>
    <t>CP004</t>
  </si>
  <si>
    <t>CP005</t>
  </si>
  <si>
    <t>CP009</t>
  </si>
  <si>
    <t>VALIDACIÓN OK</t>
  </si>
  <si>
    <t>-</t>
  </si>
  <si>
    <t xml:space="preserve">Inspección </t>
  </si>
  <si>
    <t>Inompleto</t>
  </si>
  <si>
    <t>incompleto</t>
  </si>
  <si>
    <t>OBS001</t>
  </si>
  <si>
    <t>El proveedor en su proceso  de entrega de producto hace la entrega de la factura, la cual no es recibida como una entrada en la actividad consolidar documentos.</t>
  </si>
  <si>
    <t>OBS002</t>
  </si>
  <si>
    <t>En el componente número 3 se mencionan dos salidas, ¿En cualquier caso habrán estas dos salidas, asi solo se quiera la compra de productos internos o solo la adquisición de maquinarias, equipos y bienes?</t>
  </si>
  <si>
    <t>OBS003</t>
  </si>
  <si>
    <t>En el componente número 4 del diagrama en la parte de descripción se debe especificar que sucederá en cada caso, descripción incompleta.</t>
  </si>
  <si>
    <t>OBS004</t>
  </si>
  <si>
    <t>En la declaración no se han considerado las descripción de los procesos ajenos, como lo son: Gestión de Contactos,  Entrega de productos, Facturación, Liquidación y Logística comercial.</t>
  </si>
  <si>
    <t>OBS005</t>
  </si>
  <si>
    <t>En el proceso de Facturación no se especifica que documento se enviará.</t>
  </si>
  <si>
    <t>OBS006</t>
  </si>
  <si>
    <t>CP006</t>
  </si>
  <si>
    <t>En el componente número 7 hay dos casos posibles, uno en que que se haya necesitado una compra para el abastecimiento y el otro para el que no, de este modo  no en todos los casos ocurre la consolidación de la orden de compra y la guía de remisión. Se debería diferenciar.</t>
  </si>
  <si>
    <t>OBS007</t>
  </si>
  <si>
    <t>CP007</t>
  </si>
  <si>
    <t>El proceso de logistica interna está en el aire no hay punto de unión con el diagrama, no se sabe cuando se inicializa y además debería guardar relación. ¿Cómo se pasa del punto 8 al 9?</t>
  </si>
  <si>
    <t>OBS008</t>
  </si>
  <si>
    <t>CP008</t>
  </si>
  <si>
    <t xml:space="preserve">En el componente número 10 el gateway utilizado solo es para una decisión y se realiza una de las dos salidas , no ambas. </t>
  </si>
  <si>
    <t>OBS009</t>
  </si>
  <si>
    <t xml:space="preserve">En el componente número 10 cuando se entrega el orden de entrega  o reporte de salidas a otra Área se indica de una manera distinta por medio de el icono indicado. </t>
  </si>
  <si>
    <t>OBS010</t>
  </si>
  <si>
    <t>CP010</t>
  </si>
  <si>
    <t>En general se debe uniformizar la manera en que se transmiten los documentos.</t>
  </si>
  <si>
    <t>OBS011</t>
  </si>
  <si>
    <t>CP011</t>
  </si>
  <si>
    <t>En la sección de entradas y salidas del proceso no se han considerado algunas de ellas como lo es la factura, etc.</t>
  </si>
  <si>
    <t>Daniella Valdez Peñaflor</t>
  </si>
  <si>
    <t>Inspección de iteración 1</t>
  </si>
  <si>
    <t>Inspección de iteración 2</t>
  </si>
  <si>
    <t>Inspección de iteración 3</t>
  </si>
  <si>
    <t>Inspección de iteración 4</t>
  </si>
  <si>
    <t>Inspección de iteración 5</t>
  </si>
  <si>
    <t>Inspección de iteración 6</t>
  </si>
  <si>
    <t>Inspección de iteración 7</t>
  </si>
  <si>
    <t>Inspección de iteración 8</t>
  </si>
  <si>
    <t>Inspección de iteración 9</t>
  </si>
  <si>
    <t>Inspección de iteración 10</t>
  </si>
  <si>
    <t>Inspección de iteración 11</t>
  </si>
  <si>
    <t>Diagrama de Procesos</t>
  </si>
  <si>
    <t>Declaración de Procesos</t>
  </si>
  <si>
    <t>Sección de entradas y salidas.</t>
  </si>
  <si>
    <t>Análisis y Diseño de la Arquitectura de Procesos para la Pequeña Minería : Proceso de Logística</t>
  </si>
  <si>
    <t>PM06</t>
  </si>
  <si>
    <t>Sandra Tovar</t>
  </si>
  <si>
    <t>Kaya Marina</t>
  </si>
  <si>
    <t>Daniella Valdez</t>
  </si>
  <si>
    <t>OBS012</t>
  </si>
  <si>
    <t>CP012</t>
  </si>
  <si>
    <t>En la parte de propósito se debe colocar y describir el proceso y el inicio y el fin del mismo no en otra sección.</t>
  </si>
  <si>
    <t>Inspeccion</t>
  </si>
  <si>
    <t>Inspección de iteración 12</t>
  </si>
  <si>
    <t>Propósito</t>
  </si>
  <si>
    <t>baja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</si>
</sst>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09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4" fontId="0" fillId="0" borderId="24" xfId="0" applyNumberFormat="1" applyBorder="1" applyProtection="1">
      <protection locked="0"/>
    </xf>
    <xf numFmtId="0" fontId="0" fillId="0" borderId="25" xfId="0" applyNumberFormat="1" applyBorder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0" fontId="0" fillId="0" borderId="31" xfId="0" applyBorder="1" applyProtection="1">
      <protection locked="0"/>
    </xf>
    <xf numFmtId="0" fontId="0" fillId="0" borderId="32" xfId="0" applyBorder="1" applyProtection="1">
      <protection locked="0"/>
    </xf>
    <xf numFmtId="1" fontId="0" fillId="0" borderId="31" xfId="0" applyNumberFormat="1" applyBorder="1" applyProtection="1">
      <protection locked="0"/>
    </xf>
    <xf numFmtId="2" fontId="2" fillId="24" borderId="33" xfId="0" applyNumberFormat="1" applyFont="1" applyFill="1" applyBorder="1"/>
    <xf numFmtId="0" fontId="2" fillId="24" borderId="35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14" fontId="0" fillId="0" borderId="36" xfId="0" applyNumberFormat="1" applyBorder="1" applyProtection="1">
      <protection locked="0"/>
    </xf>
    <xf numFmtId="14" fontId="0" fillId="0" borderId="37" xfId="0" applyNumberFormat="1" applyBorder="1" applyProtection="1">
      <protection locked="0"/>
    </xf>
    <xf numFmtId="0" fontId="0" fillId="0" borderId="31" xfId="0" applyBorder="1"/>
    <xf numFmtId="0" fontId="0" fillId="0" borderId="28" xfId="0" applyNumberFormat="1" applyBorder="1"/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4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14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Font="1" applyBorder="1" applyAlignment="1">
      <alignment vertical="center" wrapText="1"/>
    </xf>
    <xf numFmtId="0" fontId="0" fillId="0" borderId="0" xfId="0" applyNumberFormat="1" applyBorder="1" applyAlignment="1">
      <alignment vertical="center" wrapText="1"/>
    </xf>
    <xf numFmtId="164" fontId="0" fillId="0" borderId="0" xfId="0" applyNumberFormat="1" applyBorder="1" applyAlignment="1">
      <alignment vertical="center" wrapText="1"/>
    </xf>
    <xf numFmtId="164" fontId="0" fillId="0" borderId="0" xfId="0" applyNumberFormat="1" applyBorder="1" applyAlignment="1">
      <alignment horizontal="center" vertical="center" wrapText="1"/>
    </xf>
    <xf numFmtId="0" fontId="41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41" fillId="0" borderId="0" xfId="0" applyNumberFormat="1" applyFont="1" applyBorder="1" applyAlignment="1" applyProtection="1">
      <alignment vertical="center" wrapText="1"/>
    </xf>
    <xf numFmtId="0" fontId="41" fillId="0" borderId="0" xfId="0" applyNumberFormat="1" applyFont="1" applyBorder="1" applyAlignment="1">
      <alignment vertical="center" wrapText="1"/>
    </xf>
    <xf numFmtId="14" fontId="41" fillId="0" borderId="0" xfId="0" applyNumberFormat="1" applyFont="1" applyBorder="1" applyAlignment="1">
      <alignment vertical="center" wrapText="1"/>
    </xf>
    <xf numFmtId="0" fontId="0" fillId="41" borderId="0" xfId="0" applyFill="1" applyAlignment="1">
      <alignment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8" fillId="0" borderId="3" xfId="2" applyFont="1" applyFill="1" applyBorder="1" applyAlignment="1">
      <alignment horizontal="left" vertical="center" wrapText="1"/>
    </xf>
    <xf numFmtId="0" fontId="9" fillId="0" borderId="3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3" xfId="0" applyFont="1" applyFill="1" applyBorder="1" applyAlignment="1">
      <alignment horizontal="left"/>
    </xf>
    <xf numFmtId="0" fontId="2" fillId="24" borderId="34" xfId="0" applyFont="1" applyFill="1" applyBorder="1" applyAlignment="1">
      <alignment horizontal="left"/>
    </xf>
    <xf numFmtId="0" fontId="2" fillId="24" borderId="35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  <xf numFmtId="0" fontId="0" fillId="15" borderId="0" xfId="0" applyFill="1" applyAlignment="1">
      <alignment wrapText="1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1">
    <dxf>
      <numFmt numFmtId="0" formatCode="General"/>
      <border diagonalUp="0" diagonalDown="0" outline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9" formatCode="dd/mm/yyyy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 outline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9" formatCode="dd/mm/yyyy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19" formatCode="dd/mm/yyyy"/>
      <alignment horizontal="general" vertical="center" textRotation="0" wrapText="1" relativeIndent="0" justifyLastLine="0" shrinkToFit="0" readingOrder="0"/>
    </dxf>
    <dxf>
      <numFmt numFmtId="19" formatCode="dd/mm/yyyy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4" formatCode="dd/mm/yyyy;@"/>
      <alignment horizontal="general" vertical="center" textRotation="0" wrapText="1" relativeIndent="0" justifyLastLine="0" shrinkToFit="0" readingOrder="0"/>
    </dxf>
    <dxf>
      <numFmt numFmtId="164" formatCode="dd/mm/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26"/>
          <c:y val="0.20151813899974841"/>
          <c:w val="0.50142494135134896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0.91666666666666663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HistoricoAvance!$C$4</c:f>
              <c:numCache>
                <c:formatCode>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HistoricoAvance!$D$4</c:f>
              <c:numCache>
                <c:formatCode>0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HistoricoAvance!$E$4</c:f>
              <c:numCache>
                <c:formatCode>0</c:formatCode>
                <c:ptCount val="1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HistoricoAvance!$F$4</c:f>
              <c:numCache>
                <c:formatCode>0</c:formatCode>
                <c:ptCount val="1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HistoricoAvance!$G$4</c:f>
              <c:numCache>
                <c:formatCode>0</c:formatCode>
                <c:ptCount val="1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HistoricoAvance!$H$4</c:f>
              <c:numCache>
                <c:formatCode>0</c:formatCode>
                <c:ptCount val="1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HistoricoAvance!$I$4</c:f>
              <c:numCache>
                <c:formatCode>0</c:formatCode>
                <c:ptCount val="1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</c:f>
              <c:numCache>
                <c:formatCode>m/d/yyyy</c:formatCode>
                <c:ptCount val="1"/>
              </c:numCache>
            </c:numRef>
          </c:cat>
          <c:val>
            <c:numRef>
              <c:f>HistoricoAvance!$J$4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99904"/>
        <c:axId val="29101440"/>
      </c:lineChart>
      <c:catAx>
        <c:axId val="2909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01440"/>
        <c:crosses val="autoZero"/>
        <c:auto val="1"/>
        <c:lblAlgn val="ctr"/>
        <c:lblOffset val="100"/>
        <c:noMultiLvlLbl val="0"/>
      </c:catAx>
      <c:valAx>
        <c:axId val="291014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0999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</c:f>
              <c:numCache>
                <c:formatCode>m/d/yyyy</c:formatCode>
                <c:ptCount val="1"/>
                <c:pt idx="0">
                  <c:v>40667</c:v>
                </c:pt>
              </c:numCache>
            </c:numRef>
          </c:cat>
          <c:val>
            <c:numRef>
              <c:f>HistoricoAvance!$M$4</c:f>
              <c:numCache>
                <c:formatCode>0</c:formatCode>
                <c:ptCount val="1"/>
                <c:pt idx="0">
                  <c:v>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</c:f>
              <c:numCache>
                <c:formatCode>m/d/yyyy</c:formatCode>
                <c:ptCount val="1"/>
                <c:pt idx="0">
                  <c:v>40667</c:v>
                </c:pt>
              </c:numCache>
            </c:numRef>
          </c:cat>
          <c:val>
            <c:numRef>
              <c:f>HistoricoAvance!$N$4</c:f>
              <c:numCache>
                <c:formatCode>0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</c:f>
              <c:numCache>
                <c:formatCode>m/d/yyyy</c:formatCode>
                <c:ptCount val="1"/>
                <c:pt idx="0">
                  <c:v>40667</c:v>
                </c:pt>
              </c:numCache>
            </c:numRef>
          </c:cat>
          <c:val>
            <c:numRef>
              <c:f>HistoricoAvance!$O$4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39712"/>
        <c:axId val="29141248"/>
      </c:lineChart>
      <c:dateAx>
        <c:axId val="29139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41248"/>
        <c:crosses val="autoZero"/>
        <c:auto val="1"/>
        <c:lblOffset val="100"/>
        <c:baseTimeUnit val="days"/>
      </c:dateAx>
      <c:valAx>
        <c:axId val="2914124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3971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CuadrosResumen!$B$71:$B$73</c:f>
              <c:strCache>
                <c:ptCount val="2"/>
                <c:pt idx="0">
                  <c:v>Severidad 3</c:v>
                </c:pt>
                <c:pt idx="1">
                  <c:v>Severidad 4</c:v>
                </c:pt>
              </c:strCache>
            </c:strRef>
          </c:cat>
          <c:val>
            <c:numRef>
              <c:f>CuadrosResumen!$C$71:$C$73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76192"/>
        <c:axId val="29177728"/>
      </c:barChart>
      <c:catAx>
        <c:axId val="291761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77728"/>
        <c:crosses val="autoZero"/>
        <c:auto val="1"/>
        <c:lblAlgn val="ctr"/>
        <c:lblOffset val="100"/>
        <c:noMultiLvlLbl val="0"/>
      </c:catAx>
      <c:valAx>
        <c:axId val="291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4880"/>
        <c:axId val="29196672"/>
      </c:barChart>
      <c:catAx>
        <c:axId val="29194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96672"/>
        <c:crosses val="autoZero"/>
        <c:auto val="1"/>
        <c:lblAlgn val="ctr"/>
        <c:lblOffset val="100"/>
        <c:noMultiLvlLbl val="0"/>
      </c:catAx>
      <c:valAx>
        <c:axId val="2919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194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dinámica3</c:name>
    <c:fmtId val="0"/>
  </c:pivotSource>
  <c:chart>
    <c:title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37632"/>
        <c:axId val="29239168"/>
      </c:barChart>
      <c:catAx>
        <c:axId val="292376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239168"/>
        <c:crosses val="autoZero"/>
        <c:auto val="1"/>
        <c:lblAlgn val="ctr"/>
        <c:lblOffset val="100"/>
        <c:noMultiLvlLbl val="0"/>
      </c:catAx>
      <c:valAx>
        <c:axId val="2923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237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66304"/>
        <c:axId val="29267840"/>
      </c:barChart>
      <c:catAx>
        <c:axId val="292663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267840"/>
        <c:crosses val="autoZero"/>
        <c:auto val="1"/>
        <c:lblAlgn val="ctr"/>
        <c:lblOffset val="100"/>
        <c:noMultiLvlLbl val="0"/>
      </c:catAx>
      <c:valAx>
        <c:axId val="2926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266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#N/A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00992"/>
        <c:axId val="29319168"/>
      </c:barChart>
      <c:catAx>
        <c:axId val="293009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319168"/>
        <c:crosses val="autoZero"/>
        <c:auto val="1"/>
        <c:lblAlgn val="ctr"/>
        <c:lblOffset val="100"/>
        <c:noMultiLvlLbl val="0"/>
      </c:catAx>
      <c:valAx>
        <c:axId val="2931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300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[BANKMIN_CasosPrueba_20110504_PM06.xlsm]CuadrosResumen!Tabla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52704"/>
        <c:axId val="29354240"/>
      </c:barChart>
      <c:catAx>
        <c:axId val="293527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354240"/>
        <c:crosses val="autoZero"/>
        <c:auto val="1"/>
        <c:lblAlgn val="ctr"/>
        <c:lblOffset val="100"/>
        <c:noMultiLvlLbl val="0"/>
      </c:catAx>
      <c:valAx>
        <c:axId val="2935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29352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69</xdr:row>
      <xdr:rowOff>9524</xdr:rowOff>
    </xdr:from>
    <xdr:to>
      <xdr:col>5</xdr:col>
      <xdr:colOff>0</xdr:colOff>
      <xdr:row>84</xdr:row>
      <xdr:rowOff>190499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68</xdr:row>
      <xdr:rowOff>190499</xdr:rowOff>
    </xdr:from>
    <xdr:to>
      <xdr:col>10</xdr:col>
      <xdr:colOff>466725</xdr:colOff>
      <xdr:row>84</xdr:row>
      <xdr:rowOff>180974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68</xdr:row>
      <xdr:rowOff>190499</xdr:rowOff>
    </xdr:from>
    <xdr:to>
      <xdr:col>15</xdr:col>
      <xdr:colOff>200025</xdr:colOff>
      <xdr:row>84</xdr:row>
      <xdr:rowOff>180974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190499</xdr:rowOff>
    </xdr:from>
    <xdr:to>
      <xdr:col>4</xdr:col>
      <xdr:colOff>752475</xdr:colOff>
      <xdr:row>105</xdr:row>
      <xdr:rowOff>180974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89</xdr:row>
      <xdr:rowOff>190499</xdr:rowOff>
    </xdr:from>
    <xdr:to>
      <xdr:col>10</xdr:col>
      <xdr:colOff>447675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90</xdr:row>
      <xdr:rowOff>0</xdr:rowOff>
    </xdr:from>
    <xdr:to>
      <xdr:col>15</xdr:col>
      <xdr:colOff>180974</xdr:colOff>
      <xdr:row>106</xdr:row>
      <xdr:rowOff>19050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la/Desktop/GDP_PM03_CasosPrueba_2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Resumen"/>
      <sheetName val="CuadrosResumen"/>
      <sheetName val="Iteracion"/>
      <sheetName val="Observaciones"/>
      <sheetName val="Consultas"/>
      <sheetName val="HistoricoAvance"/>
      <sheetName val="GDP_PM03_CasosPrueba_22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ecastillom" refreshedDate="40637.721217708335" createdVersion="3" refreshedVersion="3" minRefreshableVersion="3" recordCount="1">
  <cacheSource type="worksheet">
    <worksheetSource name="Consultas[[#Todo],[Estado]]"/>
  </cacheSource>
  <cacheFields count="1">
    <cacheField name="Estado" numFmtId="0">
      <sharedItems count="2">
        <s v="Cerrada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ecastillom" refreshedDate="40637.721217939812" createdVersion="3" refreshedVersion="3" minRefreshableVersion="3" recordCount="1">
  <cacheSource type="worksheet">
    <worksheetSource name="Consultas[[#Todo],[Prioridad]]"/>
  </cacheSource>
  <cacheFields count="1">
    <cacheField name="Prioridad" numFmtId="0">
      <sharedItems containsMixedTypes="1" containsNumber="1" containsInteger="1" minValue="0" maxValue="0" count="2">
        <e v="#N/A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ecastillom" refreshedDate="40637.721218171297" createdVersion="3" refreshedVersion="3" minRefreshableVersion="3" recordCount="1">
  <cacheSource type="worksheet">
    <worksheetSource name="Consultas[[#Todo],[Responsable]]"/>
  </cacheSource>
  <cacheFields count="1">
    <cacheField name="Responsable" numFmtId="0">
      <sharedItems containsNonDate="0" containsBlank="1" count="5">
        <m/>
        <s v="Gestor Cliente" u="1"/>
        <s v="Proveedor" u="1"/>
        <s v="Redes TMP" u="1"/>
        <s v="Gestor Aplicacion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oecastillom" refreshedDate="40637.72121851852" createdVersion="3" refreshedVersion="3" minRefreshableVersion="3" recordCount="2">
  <cacheSource type="worksheet">
    <worksheetSource name="Observaciones[[#Todo],[Severidad]]"/>
  </cacheSource>
  <cacheFields count="1">
    <cacheField name="Severidad" numFmtId="0">
      <sharedItems containsBlank="1" count="5">
        <s v="Severidad 4"/>
        <s v="Severidad 3"/>
        <m u="1"/>
        <s v="Severidad 1" u="1"/>
        <s v="Severidad 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oecastillom" refreshedDate="40637.721218634259" createdVersion="3" refreshedVersion="3" minRefreshableVersion="3" recordCount="2">
  <cacheSource type="worksheet">
    <worksheetSource name="Observaciones[[#Todo],[Prioridad]]"/>
  </cacheSource>
  <cacheFields count="1">
    <cacheField name="Prioridad" numFmtId="0">
      <sharedItems count="4">
        <s v="Alta"/>
        <s v="Media" u="1"/>
        <s v="Baja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oecastillom" refreshedDate="40637.721218981482" createdVersion="3" refreshedVersion="3" minRefreshableVersion="3" recordCount="2">
  <cacheSource type="worksheet">
    <worksheetSource name="Observaciones[[#Todo],[Estado]]"/>
  </cacheSource>
  <cacheFields count="1">
    <cacheField name="Estado" numFmtId="0">
      <sharedItems containsBlank="1" count="4">
        <s v="Cerrada"/>
        <m u="1"/>
        <s v="Corregida" u="1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3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5">
        <item m="1" x="1"/>
        <item m="1" x="3"/>
        <item m="1" x="2"/>
        <item x="0"/>
        <item t="default"/>
      </items>
    </pivotField>
  </pivotFields>
  <rowFields count="1">
    <field x="0"/>
  </rowFields>
  <rowItems count="2">
    <i>
      <x v="3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6">
        <item m="1" x="4"/>
        <item m="1" x="2"/>
        <item m="1" x="3"/>
        <item m="1" x="1"/>
        <item x="0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5">
        <item x="0"/>
        <item m="1" x="1"/>
        <item m="1" x="2"/>
        <item m="1" x="3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70:C73" firstHeaderRow="1" firstDataRow="1" firstDataCol="1"/>
  <pivotFields count="1">
    <pivotField axis="axisRow" dataField="1" showAll="0">
      <items count="6">
        <item m="1" x="3"/>
        <item m="1" x="4"/>
        <item x="1"/>
        <item x="0"/>
        <item m="1" x="2"/>
        <item t="default"/>
      </items>
    </pivotField>
  </pivotFields>
  <rowFields count="1">
    <field x="0"/>
  </rowFields>
  <rowItems count="3"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6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6" totalsRowShown="0" headerRowDxfId="67" dataDxfId="65" headerRowBorderDxfId="66" tableBorderDxfId="64">
  <autoFilter ref="A4:Q16">
    <filterColumn colId="3">
      <filters>
        <filter val="Diagrama de Procesos"/>
      </filters>
    </filterColumn>
  </autoFilter>
  <tableColumns count="17">
    <tableColumn id="1" name="Código de REQ" dataDxfId="63"/>
    <tableColumn id="2" name="Código CP" dataDxfId="62"/>
    <tableColumn id="3" name="Funcionalidad" dataDxfId="61"/>
    <tableColumn id="4" name="Descripción Caso de Prueba"/>
    <tableColumn id="5" name="Resultado Esperado" dataDxfId="60"/>
    <tableColumn id="6" name="Resultado Real" dataDxfId="59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58"/>
    <tableColumn id="8" name="Prioridad" dataDxfId="57"/>
    <tableColumn id="9" name="Severidad" dataDxfId="56"/>
    <tableColumn id="10" name="Estado Incidencia" dataDxfId="55"/>
    <tableColumn id="11" name="Reejecución" dataDxfId="54"/>
    <tableColumn id="12" name="Fecha Planificada" dataDxfId="53">
      <calculatedColumnFormula>General!$A$10</calculatedColumnFormula>
    </tableColumn>
    <tableColumn id="13" name="Fecha Real" dataDxfId="52"/>
    <tableColumn id="14" name="Duración Caso de Prueba (horas / hombre)" dataDxfId="51"/>
    <tableColumn id="16" name="Pre-requisitos para la ejecución de la prueba" dataDxfId="50"/>
    <tableColumn id="17" name="Observaciones Pruebas Testing" dataDxfId="49"/>
    <tableColumn id="18" name="Revisión" dataDxfId="48">
      <calculatedColumnFormula>CONCATENATE(General!$B$7,"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14" totalsRowShown="0" headerRowDxfId="47" dataDxfId="45" headerRowBorderDxfId="46" tableBorderDxfId="44">
  <autoFilter ref="A2:L14"/>
  <tableColumns count="12">
    <tableColumn id="1" name="Cod. Obs." dataDxfId="43"/>
    <tableColumn id="2" name="Caso de Prueba" dataDxfId="42"/>
    <tableColumn id="3" name="Prioridad" dataDxfId="41">
      <calculatedColumnFormula>VLOOKUP([1]!Observaciones[Caso de Prueba],[1]!CasoPrueba[[#All],[Código CP]:[Prioridad]],7,TRUE)</calculatedColumnFormula>
    </tableColumn>
    <tableColumn id="4" name="Severidad" dataDxfId="40"/>
    <tableColumn id="5" name="Estado" dataDxfId="39"/>
    <tableColumn id="6" name="Fecha Detección" dataDxfId="38"/>
    <tableColumn id="7" name="Fecha Levantamiento" dataDxfId="37"/>
    <tableColumn id="8" name="Responsable" dataDxfId="36"/>
    <tableColumn id="9" name="Descripción" dataDxfId="35"/>
    <tableColumn id="10" name="Solución" dataDxfId="34"/>
    <tableColumn id="11" name="Tiempo de Solución (Dias)" dataDxfId="33">
      <calculatedColumnFormula>IF(([1]!Observaciones[[#This Row],[Fecha Levantamiento]]-[1]!Observaciones[[#This Row],[Fecha Detección]])&gt;=0,[1]!Observaciones[[#This Row],[Fecha Levantamiento]]-[1]!Observaciones[[#This Row],[Fecha Detección]]+1,0)</calculatedColumnFormula>
    </tableColumn>
    <tableColumn id="13" name="Cod. Req." dataDxfId="32">
      <calculatedColumnFormula>LOOKUP([1]!Observaciones[[#This Row],[Caso de Prueba]],[1]!CasoPrueba[Código CP],[1]!CasoPrueba[Código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3" totalsRowShown="0" headerRowDxfId="31" dataDxfId="30">
  <autoFilter ref="A2:J3"/>
  <tableColumns count="10">
    <tableColumn id="1" name="Cod. Cons." dataDxfId="29"/>
    <tableColumn id="2" name="Caso de Prueba" dataDxfId="28"/>
    <tableColumn id="3" name="Prioridad" dataDxfId="27"/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4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4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workbookViewId="0">
      <selection activeCell="A10" sqref="A10"/>
    </sheetView>
  </sheetViews>
  <sheetFormatPr baseColWidth="10" defaultColWidth="0" defaultRowHeight="15" zeroHeight="1"/>
  <cols>
    <col min="1" max="4" width="39.7109375" style="4" customWidth="1"/>
    <col min="5" max="16381" width="11.42578125" style="4" hidden="1"/>
    <col min="16382" max="16382" width="23" style="4" hidden="1"/>
    <col min="16383" max="16384" width="19.28515625" style="4" hidden="1"/>
  </cols>
  <sheetData>
    <row r="1" spans="1:10 16382:16382" ht="27" thickBot="1">
      <c r="A1" s="179" t="s">
        <v>0</v>
      </c>
      <c r="B1" s="180"/>
      <c r="C1" s="180"/>
      <c r="D1" s="180"/>
      <c r="XFB1" s="4" t="s">
        <v>134</v>
      </c>
    </row>
    <row r="2" spans="1:10 16382:16382" ht="19.5" customHeight="1">
      <c r="A2" s="181" t="s">
        <v>1</v>
      </c>
      <c r="B2" s="181"/>
      <c r="C2" s="181"/>
      <c r="D2" s="181"/>
      <c r="XFB2" s="4" t="s">
        <v>135</v>
      </c>
    </row>
    <row r="3" spans="1:10 16382:16382" ht="19.5" customHeight="1">
      <c r="A3" s="114" t="s">
        <v>138</v>
      </c>
      <c r="B3" s="117" t="s">
        <v>203</v>
      </c>
      <c r="C3" s="114" t="s">
        <v>2</v>
      </c>
      <c r="D3" s="118" t="s">
        <v>137</v>
      </c>
      <c r="XFB3" s="4" t="s">
        <v>136</v>
      </c>
    </row>
    <row r="4" spans="1:10 16382:16382" ht="19.5" customHeight="1">
      <c r="A4" s="115" t="s">
        <v>139</v>
      </c>
      <c r="B4" s="185" t="s">
        <v>202</v>
      </c>
      <c r="C4" s="185"/>
      <c r="D4" s="185"/>
      <c r="E4" s="185"/>
      <c r="F4" s="185"/>
      <c r="G4" s="185"/>
      <c r="H4" s="185"/>
      <c r="I4" s="185"/>
      <c r="J4" s="185"/>
      <c r="XFB4" s="4" t="s">
        <v>137</v>
      </c>
    </row>
    <row r="5" spans="1:10 16382:16382" ht="120" customHeight="1">
      <c r="A5" s="114" t="s">
        <v>3</v>
      </c>
      <c r="B5" s="182"/>
      <c r="C5" s="183"/>
      <c r="D5" s="183"/>
    </row>
    <row r="6" spans="1:10 16382:16382" ht="19.5" customHeight="1">
      <c r="A6" s="114" t="s">
        <v>147</v>
      </c>
      <c r="B6" s="119" t="s">
        <v>204</v>
      </c>
      <c r="C6" s="114" t="s">
        <v>4</v>
      </c>
      <c r="D6" s="1" t="s">
        <v>149</v>
      </c>
    </row>
    <row r="7" spans="1:10 16382:16382" ht="19.5" customHeight="1">
      <c r="A7" s="114" t="s">
        <v>148</v>
      </c>
      <c r="B7" s="117" t="s">
        <v>206</v>
      </c>
      <c r="C7" s="114" t="s">
        <v>140</v>
      </c>
      <c r="D7" s="2" t="s">
        <v>205</v>
      </c>
    </row>
    <row r="8" spans="1:10 16382:16382" ht="19.5" customHeight="1">
      <c r="A8" s="184" t="s">
        <v>5</v>
      </c>
      <c r="B8" s="184"/>
      <c r="C8" s="184" t="s">
        <v>6</v>
      </c>
      <c r="D8" s="184"/>
    </row>
    <row r="9" spans="1:10 16382:16382" ht="19.5" customHeight="1">
      <c r="A9" s="116" t="s">
        <v>7</v>
      </c>
      <c r="B9" s="116" t="s">
        <v>8</v>
      </c>
      <c r="C9" s="116" t="s">
        <v>7</v>
      </c>
      <c r="D9" s="116" t="s">
        <v>8</v>
      </c>
    </row>
    <row r="10" spans="1:10 16382:16382" ht="19.5" customHeight="1">
      <c r="A10" s="120">
        <v>40667</v>
      </c>
      <c r="B10" s="3"/>
      <c r="C10" s="3" t="s">
        <v>156</v>
      </c>
      <c r="D10" s="3" t="s">
        <v>156</v>
      </c>
    </row>
    <row r="11" spans="1:10 16382:16382" hidden="1"/>
  </sheetData>
  <mergeCells count="6">
    <mergeCell ref="A1:D1"/>
    <mergeCell ref="A2:D2"/>
    <mergeCell ref="B5:D5"/>
    <mergeCell ref="A8:B8"/>
    <mergeCell ref="C8:D8"/>
    <mergeCell ref="B4:J4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D11" sqref="D11"/>
    </sheetView>
  </sheetViews>
  <sheetFormatPr baseColWidth="10" defaultColWidth="0" defaultRowHeight="15" zeroHeight="1"/>
  <cols>
    <col min="1" max="1" width="11.28515625" style="4" customWidth="1"/>
    <col min="2" max="2" width="16.85546875" style="4" customWidth="1"/>
    <col min="3" max="3" width="11.42578125" style="4" customWidth="1"/>
    <col min="4" max="4" width="15.5703125" style="4" bestFit="1" customWidth="1"/>
    <col min="5" max="5" width="7.7109375" style="4" bestFit="1" customWidth="1"/>
    <col min="6" max="6" width="10.5703125" style="4" bestFit="1" customWidth="1"/>
    <col min="7" max="7" width="11" style="4" bestFit="1" customWidth="1"/>
    <col min="8" max="8" width="13.140625" style="4" bestFit="1" customWidth="1"/>
    <col min="9" max="10" width="11.42578125" style="4" customWidth="1"/>
    <col min="11" max="11" width="13.28515625" style="4" customWidth="1"/>
    <col min="12" max="12" width="8.5703125" style="4" customWidth="1"/>
    <col min="13" max="13" width="5.85546875" style="4" customWidth="1"/>
    <col min="14" max="14" width="6.5703125" style="4" customWidth="1"/>
    <col min="15" max="15" width="6.42578125" style="4" customWidth="1"/>
    <col min="16" max="16" width="20" style="4" hidden="1" customWidth="1"/>
    <col min="17" max="17" width="37.7109375" style="4" hidden="1" customWidth="1"/>
    <col min="18" max="18" width="5.85546875" style="4" customWidth="1"/>
    <col min="19" max="16384" width="11.42578125" style="4" hidden="1"/>
  </cols>
  <sheetData>
    <row r="1" spans="1:18" ht="6" customHeight="1">
      <c r="A1" s="79"/>
      <c r="B1" s="79"/>
      <c r="C1" s="79"/>
      <c r="F1" s="79"/>
      <c r="P1" s="79"/>
      <c r="Q1" s="79"/>
      <c r="R1" s="79"/>
    </row>
    <row r="2" spans="1:18">
      <c r="A2" s="79"/>
      <c r="B2" s="79"/>
      <c r="C2" s="138" t="s">
        <v>9</v>
      </c>
      <c r="D2" s="137" t="s">
        <v>203</v>
      </c>
      <c r="E2" s="79"/>
      <c r="F2" s="138" t="s">
        <v>10</v>
      </c>
      <c r="G2" s="185" t="s">
        <v>202</v>
      </c>
      <c r="H2" s="185"/>
      <c r="I2" s="185"/>
      <c r="J2" s="185"/>
      <c r="K2" s="185"/>
      <c r="L2" s="185"/>
      <c r="M2" s="185"/>
      <c r="N2" s="185"/>
      <c r="O2" s="185"/>
      <c r="P2" s="79"/>
      <c r="Q2" s="79"/>
      <c r="R2" s="79"/>
    </row>
    <row r="3" spans="1:18" ht="6" customHeight="1">
      <c r="A3" s="79"/>
      <c r="B3" s="79"/>
      <c r="C3" s="139"/>
      <c r="E3" s="79"/>
      <c r="F3" s="13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  <row r="4" spans="1:18" ht="18.75">
      <c r="A4" s="79"/>
      <c r="B4" s="79"/>
      <c r="C4" s="138" t="s">
        <v>11</v>
      </c>
      <c r="D4" s="140">
        <f>$E$14+$I$14</f>
        <v>0</v>
      </c>
      <c r="E4" s="139"/>
      <c r="F4" s="138" t="s">
        <v>12</v>
      </c>
      <c r="G4" s="187" t="str">
        <f>IF(SUM($C$30:$C$31)&gt;0,P37,IF((SUM($C$30:$C$31)=0)*(SUM($C$32:$C$33)),$P$36,IF($C$34=0,$P$35,$P$35)))</f>
        <v>INSATISFACTORIO</v>
      </c>
      <c r="H4" s="187"/>
      <c r="I4" s="187"/>
      <c r="J4" s="187"/>
      <c r="K4" s="187"/>
      <c r="L4" s="187"/>
      <c r="M4" s="187"/>
      <c r="N4" s="187"/>
      <c r="O4" s="187"/>
      <c r="P4" s="79"/>
      <c r="Q4" s="79"/>
      <c r="R4" s="79"/>
    </row>
    <row r="5" spans="1:18" ht="6" customHeight="1">
      <c r="A5" s="79"/>
      <c r="B5" s="79"/>
      <c r="C5" s="138"/>
      <c r="D5" s="141"/>
      <c r="E5" s="138"/>
      <c r="F5" s="142"/>
      <c r="G5" s="84"/>
      <c r="H5" s="84"/>
      <c r="I5" s="84"/>
      <c r="J5" s="84"/>
      <c r="K5" s="84"/>
      <c r="L5" s="84"/>
      <c r="M5" s="84"/>
      <c r="N5" s="84"/>
      <c r="O5" s="84"/>
      <c r="P5" s="79"/>
      <c r="Q5" s="79"/>
      <c r="R5" s="79"/>
    </row>
    <row r="6" spans="1:18" ht="18.75">
      <c r="A6" s="79"/>
      <c r="B6" s="79"/>
      <c r="C6" s="138" t="s">
        <v>13</v>
      </c>
      <c r="D6" s="140">
        <f>$C$11/$C$10</f>
        <v>0</v>
      </c>
      <c r="E6" s="139"/>
      <c r="F6" s="13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</row>
    <row r="7" spans="1:18" ht="4.5" customHeight="1">
      <c r="A7" s="79"/>
      <c r="B7" s="79"/>
      <c r="C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</row>
    <row r="8" spans="1:18" ht="23.25">
      <c r="A8" s="80" t="s">
        <v>14</v>
      </c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</row>
    <row r="9" spans="1:18" ht="4.5" customHeight="1" thickBot="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</row>
    <row r="10" spans="1:18" ht="15.75" thickBot="1">
      <c r="A10" s="79"/>
      <c r="B10" s="136" t="s">
        <v>15</v>
      </c>
      <c r="C10" s="9">
        <f>ROWS(CasoPrueba[])</f>
        <v>12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87" t="s">
        <v>32</v>
      </c>
      <c r="Q10" s="11" t="s">
        <v>3</v>
      </c>
      <c r="R10" s="79"/>
    </row>
    <row r="11" spans="1:18" ht="15.75" thickBot="1">
      <c r="A11" s="79"/>
      <c r="B11" s="136" t="s">
        <v>16</v>
      </c>
      <c r="C11" s="9">
        <v>0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88" t="s">
        <v>33</v>
      </c>
      <c r="Q11" s="12" t="s">
        <v>34</v>
      </c>
      <c r="R11" s="79"/>
    </row>
    <row r="12" spans="1:18" ht="30.75" thickBot="1">
      <c r="A12" s="79"/>
      <c r="B12" s="136" t="s">
        <v>18</v>
      </c>
      <c r="C12" s="9">
        <v>0</v>
      </c>
      <c r="D12" s="79"/>
      <c r="E12" s="92" t="s">
        <v>19</v>
      </c>
      <c r="F12" s="93" t="s">
        <v>20</v>
      </c>
      <c r="G12" s="146" t="s">
        <v>21</v>
      </c>
      <c r="H12" s="147" t="s">
        <v>22</v>
      </c>
      <c r="I12" s="143" t="s">
        <v>23</v>
      </c>
      <c r="J12" s="144" t="s">
        <v>24</v>
      </c>
      <c r="K12" s="145" t="s">
        <v>129</v>
      </c>
      <c r="L12" s="81"/>
      <c r="M12" s="79"/>
      <c r="N12" s="79"/>
      <c r="O12" s="79"/>
      <c r="P12" s="89" t="s">
        <v>35</v>
      </c>
      <c r="Q12" s="13" t="s">
        <v>36</v>
      </c>
      <c r="R12" s="79"/>
    </row>
    <row r="13" spans="1:18" ht="30.75" thickBot="1">
      <c r="A13" s="79"/>
      <c r="B13" s="136" t="s">
        <v>113</v>
      </c>
      <c r="C13" s="9">
        <f>COUNTIF(CasoPrueba[[#All],[Estado Testing]],$P$29)</f>
        <v>0</v>
      </c>
      <c r="D13" s="79"/>
      <c r="E13" s="5">
        <f>COUNTIF(CasoPrueba[[#All],[Estado Testing]],$P$28)</f>
        <v>0</v>
      </c>
      <c r="F13" s="5">
        <f>COUNTIF(CasoPrueba[[#All],[Estado Testing]],$P$29)</f>
        <v>0</v>
      </c>
      <c r="G13" s="5">
        <f>COUNTIF(CasoPrueba[[#All],[Estado Testing]],$P$30)</f>
        <v>0</v>
      </c>
      <c r="H13" s="5">
        <v>11</v>
      </c>
      <c r="I13" s="5">
        <f>COUNTIF(CasoPrueba[[#All],[Estado Testing]],$P$31)</f>
        <v>0</v>
      </c>
      <c r="J13" s="5">
        <f>COUNTIF(CasoPrueba[[#All],[Estado Testing]],$P$32)</f>
        <v>12</v>
      </c>
      <c r="K13" s="5">
        <f>SUM(CasoPrueba[[#All],[Reejecución]])</f>
        <v>0</v>
      </c>
      <c r="L13" s="82"/>
      <c r="M13" s="79"/>
      <c r="N13" s="79"/>
      <c r="O13" s="79"/>
      <c r="P13" s="90" t="s">
        <v>37</v>
      </c>
      <c r="Q13" s="14" t="s">
        <v>38</v>
      </c>
      <c r="R13" s="79"/>
    </row>
    <row r="14" spans="1:18" ht="15.75" thickBot="1">
      <c r="A14" s="79"/>
      <c r="B14" s="136" t="s">
        <v>17</v>
      </c>
      <c r="C14" s="9">
        <f>COUNTIF(CasoPrueba[[#All],[Estado Testing]],$P$30)</f>
        <v>0</v>
      </c>
      <c r="D14" s="79"/>
      <c r="E14" s="15">
        <f t="shared" ref="E14:J14" si="0">E13/$C$10</f>
        <v>0</v>
      </c>
      <c r="F14" s="15">
        <f t="shared" si="0"/>
        <v>0</v>
      </c>
      <c r="G14" s="15">
        <f t="shared" si="0"/>
        <v>0</v>
      </c>
      <c r="H14" s="15">
        <f t="shared" si="0"/>
        <v>0.91666666666666663</v>
      </c>
      <c r="I14" s="15">
        <f t="shared" si="0"/>
        <v>0</v>
      </c>
      <c r="J14" s="15">
        <f t="shared" si="0"/>
        <v>1</v>
      </c>
      <c r="K14" s="15">
        <f>K13/C10</f>
        <v>0</v>
      </c>
      <c r="L14" s="83"/>
      <c r="M14" s="79"/>
      <c r="N14" s="79"/>
      <c r="O14" s="79"/>
      <c r="P14" s="91" t="s">
        <v>39</v>
      </c>
      <c r="Q14" s="16" t="s">
        <v>40</v>
      </c>
      <c r="R14" s="79"/>
    </row>
    <row r="15" spans="1:18" ht="9" customHeight="1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</row>
    <row r="16" spans="1:18" ht="15.75" hidden="1" thickBot="1">
      <c r="A16" s="79"/>
      <c r="B16" s="188" t="s">
        <v>25</v>
      </c>
      <c r="C16" s="189" t="s">
        <v>19</v>
      </c>
      <c r="D16" s="189"/>
      <c r="E16" s="190" t="s">
        <v>20</v>
      </c>
      <c r="F16" s="190"/>
      <c r="G16" s="191" t="s">
        <v>21</v>
      </c>
      <c r="H16" s="191"/>
      <c r="I16" s="192" t="s">
        <v>22</v>
      </c>
      <c r="J16" s="193"/>
      <c r="K16" s="196" t="s">
        <v>23</v>
      </c>
      <c r="L16" s="197"/>
      <c r="M16" s="194" t="s">
        <v>24</v>
      </c>
      <c r="N16" s="195"/>
      <c r="O16" s="79"/>
      <c r="P16" s="10" t="s">
        <v>41</v>
      </c>
      <c r="Q16" s="11" t="s">
        <v>42</v>
      </c>
      <c r="R16" s="79"/>
    </row>
    <row r="17" spans="1:18" ht="15.75" hidden="1" thickBot="1">
      <c r="A17" s="79"/>
      <c r="B17" s="188"/>
      <c r="C17" s="56" t="s">
        <v>26</v>
      </c>
      <c r="D17" s="56" t="s">
        <v>27</v>
      </c>
      <c r="E17" s="57" t="s">
        <v>26</v>
      </c>
      <c r="F17" s="57" t="s">
        <v>27</v>
      </c>
      <c r="G17" s="58" t="s">
        <v>26</v>
      </c>
      <c r="H17" s="58" t="s">
        <v>27</v>
      </c>
      <c r="I17" s="59" t="s">
        <v>26</v>
      </c>
      <c r="J17" s="59" t="s">
        <v>27</v>
      </c>
      <c r="K17" s="60" t="s">
        <v>26</v>
      </c>
      <c r="L17" s="60" t="s">
        <v>27</v>
      </c>
      <c r="M17" s="61" t="s">
        <v>26</v>
      </c>
      <c r="N17" s="61" t="s">
        <v>27</v>
      </c>
      <c r="O17" s="79"/>
      <c r="P17" s="17" t="s">
        <v>28</v>
      </c>
      <c r="Q17" s="18" t="s">
        <v>43</v>
      </c>
      <c r="R17" s="79"/>
    </row>
    <row r="18" spans="1:18" ht="15.75" hidden="1" thickBot="1">
      <c r="A18" s="79"/>
      <c r="B18" s="43" t="s">
        <v>28</v>
      </c>
      <c r="C18" s="44">
        <f>COUNTIFS(CasoPrueba[[#All],[Estado Testing]],$P$28,CasoPrueba[[#All],[Prioridad]],$P$17)</f>
        <v>0</v>
      </c>
      <c r="D18" s="45">
        <f>C18/$C$10</f>
        <v>0</v>
      </c>
      <c r="E18" s="46">
        <f>COUNTIFS(CasoPrueba[[#All],[Estado Testing]],$P$29,CasoPrueba[[#All],[Prioridad]],$P$17)</f>
        <v>0</v>
      </c>
      <c r="F18" s="47">
        <f>E18/$C$10</f>
        <v>0</v>
      </c>
      <c r="G18" s="48">
        <f>COUNTIFS(CasoPrueba[[#All],[Estado Testing]],$P$30,CasoPrueba[[#All],[Prioridad]],$P$17)</f>
        <v>0</v>
      </c>
      <c r="H18" s="49">
        <f>G18/$C$10</f>
        <v>0</v>
      </c>
      <c r="I18" s="50">
        <f>COUNTIFS(CasoPrueba[[#All],[Estado Testing]],$P$27,CasoPrueba[[#All],[Prioridad]],$P$17)</f>
        <v>0</v>
      </c>
      <c r="J18" s="51">
        <f>I18/$C$10</f>
        <v>0</v>
      </c>
      <c r="K18" s="52">
        <f>COUNTIFS(CasoPrueba[[#All],[Estado Testing]],$P$31,CasoPrueba[[#All],[Prioridad]],$P$17)</f>
        <v>0</v>
      </c>
      <c r="L18" s="54">
        <f>K18/$C$10</f>
        <v>0</v>
      </c>
      <c r="M18" s="55">
        <f>COUNTIFS(CasoPrueba[[#All],[Estado Testing]],$P$29,CasoPrueba[[#All],[Prioridad]],$P$17)</f>
        <v>0</v>
      </c>
      <c r="N18" s="53">
        <f>M18/$C$10</f>
        <v>0</v>
      </c>
      <c r="O18" s="79"/>
      <c r="P18" s="19" t="s">
        <v>29</v>
      </c>
      <c r="Q18" s="20" t="s">
        <v>44</v>
      </c>
      <c r="R18" s="79"/>
    </row>
    <row r="19" spans="1:18" ht="15.75" hidden="1" thickBot="1">
      <c r="A19" s="79"/>
      <c r="B19" s="43" t="s">
        <v>29</v>
      </c>
      <c r="C19" s="44">
        <f>COUNTIFS(CasoPrueba[[#All],[Estado Testing]],$P$28,CasoPrueba[[#All],[Prioridad]],$P$18)</f>
        <v>0</v>
      </c>
      <c r="D19" s="45">
        <f t="shared" ref="D19:F20" si="1">C19/$C$10</f>
        <v>0</v>
      </c>
      <c r="E19" s="46">
        <f>COUNTIFS(CasoPrueba[[#All],[Estado Testing]],$P$29,CasoPrueba[[#All],[Prioridad]],$P$18)</f>
        <v>0</v>
      </c>
      <c r="F19" s="47">
        <f t="shared" si="1"/>
        <v>0</v>
      </c>
      <c r="G19" s="48">
        <f>COUNTIFS(CasoPrueba[[#All],[Estado Testing]],$P$30,CasoPrueba[[#All],[Prioridad]],$P$18)</f>
        <v>0</v>
      </c>
      <c r="H19" s="49">
        <f>G19/$C$10</f>
        <v>0</v>
      </c>
      <c r="I19" s="50">
        <f>COUNTIFS(CasoPrueba[[#All],[Estado Testing]],$P$27,CasoPrueba[[#All],[Prioridad]],$P$18)</f>
        <v>0</v>
      </c>
      <c r="J19" s="51">
        <f>I19/$C$10</f>
        <v>0</v>
      </c>
      <c r="K19" s="52">
        <f>COUNTIFS(CasoPrueba[[#All],[Estado Testing]],$P$31,CasoPrueba[[#All],[Prioridad]],$P$18)</f>
        <v>0</v>
      </c>
      <c r="L19" s="54">
        <f>K19/$C$10</f>
        <v>0</v>
      </c>
      <c r="M19" s="55">
        <f>COUNTIFS(CasoPrueba[[#All],[Estado Testing]],$P$29,CasoPrueba[[#All],[Prioridad]],$P$18)</f>
        <v>0</v>
      </c>
      <c r="N19" s="53">
        <f>M19/$C$10</f>
        <v>0</v>
      </c>
      <c r="O19" s="79"/>
      <c r="P19" s="21" t="s">
        <v>30</v>
      </c>
      <c r="Q19" s="20" t="s">
        <v>45</v>
      </c>
      <c r="R19" s="79"/>
    </row>
    <row r="20" spans="1:18" ht="15.75" hidden="1" thickBot="1">
      <c r="A20" s="79"/>
      <c r="B20" s="43" t="s">
        <v>30</v>
      </c>
      <c r="C20" s="44">
        <f>COUNTIFS(CasoPrueba[[#All],[Estado Testing]],$P$28,CasoPrueba[[#All],[Prioridad]],$P$19)</f>
        <v>0</v>
      </c>
      <c r="D20" s="45">
        <f t="shared" si="1"/>
        <v>0</v>
      </c>
      <c r="E20" s="46">
        <f>COUNTIFS(CasoPrueba[[#All],[Estado Testing]],$P$29,CasoPrueba[[#All],[Prioridad]],$P$19)</f>
        <v>0</v>
      </c>
      <c r="F20" s="47">
        <f t="shared" si="1"/>
        <v>0</v>
      </c>
      <c r="G20" s="48">
        <f>COUNTIFS(CasoPrueba[[#All],[Estado Testing]],$P$30,CasoPrueba[[#All],[Prioridad]],$P$19)</f>
        <v>0</v>
      </c>
      <c r="H20" s="49">
        <f>G20/$C$10</f>
        <v>0</v>
      </c>
      <c r="I20" s="50">
        <f>COUNTIFS(CasoPrueba[[#All],[Estado Testing]],$P$27,CasoPrueba[[#All],[Prioridad]],$P$19)</f>
        <v>0</v>
      </c>
      <c r="J20" s="51">
        <f>I20/$C$10</f>
        <v>0</v>
      </c>
      <c r="K20" s="52">
        <f>COUNTIFS(CasoPrueba[[#All],[Estado Testing]],$P$31,CasoPrueba[[#All],[Prioridad]],$P$19)</f>
        <v>0</v>
      </c>
      <c r="L20" s="54">
        <f>K20/$C$10</f>
        <v>0</v>
      </c>
      <c r="M20" s="55">
        <f>COUNTIFS(CasoPrueba[[#All],[Estado Testing]],$P$29,CasoPrueba[[#All],[Prioridad]],$P$19)</f>
        <v>0</v>
      </c>
      <c r="N20" s="53">
        <f>M20/$C$10</f>
        <v>0</v>
      </c>
      <c r="O20" s="79"/>
      <c r="P20" s="79"/>
      <c r="Q20" s="79"/>
      <c r="R20" s="79"/>
    </row>
    <row r="21" spans="1:18" ht="15.75" hidden="1" thickBot="1">
      <c r="A21" s="79"/>
      <c r="B21" s="62" t="s">
        <v>31</v>
      </c>
      <c r="C21" s="62">
        <f>SUM(C18:C20)</f>
        <v>0</v>
      </c>
      <c r="D21" s="63">
        <f t="shared" ref="D21:N21" si="2">SUM(D18:D20)</f>
        <v>0</v>
      </c>
      <c r="E21" s="62">
        <f t="shared" si="2"/>
        <v>0</v>
      </c>
      <c r="F21" s="63">
        <f t="shared" si="2"/>
        <v>0</v>
      </c>
      <c r="G21" s="62">
        <f t="shared" si="2"/>
        <v>0</v>
      </c>
      <c r="H21" s="63">
        <f t="shared" si="2"/>
        <v>0</v>
      </c>
      <c r="I21" s="62">
        <f t="shared" si="2"/>
        <v>0</v>
      </c>
      <c r="J21" s="63">
        <f t="shared" si="2"/>
        <v>0</v>
      </c>
      <c r="K21" s="62">
        <f>SUM(K18:K20)</f>
        <v>0</v>
      </c>
      <c r="L21" s="63">
        <f>SUM(L18:L20)</f>
        <v>0</v>
      </c>
      <c r="M21" s="62">
        <f t="shared" si="2"/>
        <v>0</v>
      </c>
      <c r="N21" s="63">
        <f t="shared" si="2"/>
        <v>0</v>
      </c>
      <c r="O21" s="79"/>
      <c r="P21" s="10" t="s">
        <v>46</v>
      </c>
      <c r="Q21" s="11" t="s">
        <v>3</v>
      </c>
      <c r="R21" s="79"/>
    </row>
    <row r="22" spans="1:18" ht="15.75" hidden="1" thickBot="1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17" t="s">
        <v>47</v>
      </c>
      <c r="Q22" s="24" t="s">
        <v>51</v>
      </c>
      <c r="R22" s="79"/>
    </row>
    <row r="23" spans="1:18" ht="30.75" hidden="1" thickBot="1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22" t="s">
        <v>48</v>
      </c>
      <c r="Q23" s="25" t="s">
        <v>50</v>
      </c>
      <c r="R23" s="79"/>
    </row>
    <row r="24" spans="1:18" ht="15.75" hidden="1" thickBot="1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23" t="s">
        <v>49</v>
      </c>
      <c r="Q24" s="25" t="s">
        <v>52</v>
      </c>
      <c r="R24" s="79"/>
    </row>
    <row r="25" spans="1:18" ht="9" hidden="1" customHeight="1" thickBot="1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</row>
    <row r="26" spans="1:18" ht="24" hidden="1" thickBot="1">
      <c r="A26" s="123" t="s">
        <v>68</v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79"/>
      <c r="N26" s="79"/>
      <c r="O26" s="79"/>
      <c r="P26" s="6" t="s">
        <v>53</v>
      </c>
      <c r="Q26" s="7" t="s">
        <v>54</v>
      </c>
      <c r="R26" s="79"/>
    </row>
    <row r="27" spans="1:18" ht="18" hidden="1" customHeight="1" thickBot="1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79"/>
      <c r="N27" s="79"/>
      <c r="O27" s="79"/>
      <c r="P27" s="113" t="s">
        <v>22</v>
      </c>
      <c r="Q27" s="8" t="s">
        <v>66</v>
      </c>
      <c r="R27" s="79"/>
    </row>
    <row r="28" spans="1:18" ht="30.75" hidden="1" customHeight="1" thickBot="1">
      <c r="A28" s="124"/>
      <c r="B28" s="186" t="s">
        <v>69</v>
      </c>
      <c r="C28" s="186" t="s">
        <v>70</v>
      </c>
      <c r="D28" s="186"/>
      <c r="E28" s="186" t="s">
        <v>71</v>
      </c>
      <c r="F28" s="186"/>
      <c r="G28" s="124"/>
      <c r="H28" s="124"/>
      <c r="I28" s="124"/>
      <c r="J28" s="124"/>
      <c r="K28" s="124"/>
      <c r="L28" s="124"/>
      <c r="M28" s="79"/>
      <c r="N28" s="79"/>
      <c r="O28" s="79"/>
      <c r="P28" s="108" t="s">
        <v>19</v>
      </c>
      <c r="Q28" s="14" t="s">
        <v>55</v>
      </c>
      <c r="R28" s="79"/>
    </row>
    <row r="29" spans="1:18" ht="15.75" hidden="1" thickBot="1">
      <c r="A29" s="124"/>
      <c r="B29" s="186"/>
      <c r="C29" s="125" t="s">
        <v>26</v>
      </c>
      <c r="D29" s="125" t="s">
        <v>27</v>
      </c>
      <c r="E29" s="125" t="s">
        <v>26</v>
      </c>
      <c r="F29" s="125" t="s">
        <v>27</v>
      </c>
      <c r="G29" s="124"/>
      <c r="H29" s="126" t="s">
        <v>41</v>
      </c>
      <c r="I29" s="126" t="s">
        <v>28</v>
      </c>
      <c r="J29" s="126" t="s">
        <v>29</v>
      </c>
      <c r="K29" s="126" t="s">
        <v>30</v>
      </c>
      <c r="L29" s="121"/>
      <c r="M29" s="85"/>
      <c r="N29" s="79"/>
      <c r="O29" s="79"/>
      <c r="P29" s="109" t="s">
        <v>20</v>
      </c>
      <c r="Q29" s="14" t="s">
        <v>56</v>
      </c>
      <c r="R29" s="79"/>
    </row>
    <row r="30" spans="1:18" ht="33" hidden="1" customHeight="1" thickBot="1">
      <c r="A30" s="124"/>
      <c r="B30" s="127" t="s">
        <v>33</v>
      </c>
      <c r="C30" s="128">
        <f>COUNTIFS(Observaciones[[#All],[Estado]],Resumen!$P$22,Observaciones[[#All],[Severidad]],Resumen!$P$11)+COUNTIFS(Observaciones[[#All],[Estado]],$P$23,Observaciones[[#All],[Severidad]],Resumen!$P$11)</f>
        <v>2</v>
      </c>
      <c r="D30" s="129">
        <f>C30/$C$10</f>
        <v>0.16666666666666666</v>
      </c>
      <c r="E30" s="130">
        <f>COUNTIFS(Observaciones[[#All],[Estado]],Resumen!$P$24,Observaciones[[#All],[Severidad]],Resumen!$P$11)</f>
        <v>0</v>
      </c>
      <c r="F30" s="129">
        <f>E30/$C$10</f>
        <v>0</v>
      </c>
      <c r="G30" s="124"/>
      <c r="H30" s="127" t="s">
        <v>33</v>
      </c>
      <c r="I30" s="131">
        <f>COUNTIFS(Observaciones[[#All],[Severidad]],Resumen!$P$11,Observaciones[[#All],[Prioridad]],Resumen!$P$17)</f>
        <v>0</v>
      </c>
      <c r="J30" s="131">
        <f>COUNTIFS(Observaciones[[#All],[Severidad]],Resumen!$P$11,Observaciones[[#All],[Prioridad]],Resumen!$P$18)</f>
        <v>0</v>
      </c>
      <c r="K30" s="131">
        <f>COUNTIFS(Observaciones[[#All],[Severidad]],Resumen!$P$11,Observaciones[[#All],[Prioridad]],Resumen!$P$19)</f>
        <v>0</v>
      </c>
      <c r="L30" s="122"/>
      <c r="M30" s="86"/>
      <c r="N30" s="79"/>
      <c r="O30" s="79"/>
      <c r="P30" s="110" t="s">
        <v>21</v>
      </c>
      <c r="Q30" s="14" t="s">
        <v>57</v>
      </c>
      <c r="R30" s="79"/>
    </row>
    <row r="31" spans="1:18" ht="33" hidden="1" customHeight="1" thickBot="1">
      <c r="A31" s="124"/>
      <c r="B31" s="127" t="s">
        <v>35</v>
      </c>
      <c r="C31" s="128">
        <f>COUNTIFS(Observaciones[[#All],[Estado]],Resumen!$P$22,Observaciones[[#All],[Severidad]],Resumen!$P$12)+COUNTIFS(Observaciones[[#All],[Estado]],$P$23,Observaciones[[#All],[Severidad]],Resumen!$P$12)</f>
        <v>3</v>
      </c>
      <c r="D31" s="129">
        <f>C31/$C$10</f>
        <v>0.25</v>
      </c>
      <c r="E31" s="130">
        <f>COUNTIFS(Observaciones[[#All],[Estado]],Resumen!$P$24,Observaciones[[#All],[Severidad]],Resumen!$P$12)</f>
        <v>0</v>
      </c>
      <c r="F31" s="129">
        <f>E31/$C$10</f>
        <v>0</v>
      </c>
      <c r="G31" s="124"/>
      <c r="H31" s="127" t="s">
        <v>35</v>
      </c>
      <c r="I31" s="131">
        <f>COUNTIFS(Observaciones[[#All],[Severidad]],Resumen!$P$12,Observaciones[[#All],[Prioridad]],Resumen!$P$17)</f>
        <v>0</v>
      </c>
      <c r="J31" s="131">
        <f>COUNTIFS(Observaciones[[#All],[Severidad]],Resumen!$P$12,Observaciones[[#All],[Prioridad]],Resumen!$P$18)</f>
        <v>0</v>
      </c>
      <c r="K31" s="131">
        <f>COUNTIFS(Observaciones[[#All],[Severidad]],Resumen!$P$12,Observaciones[[#All],[Prioridad]],Resumen!$P$19)</f>
        <v>0</v>
      </c>
      <c r="L31" s="122"/>
      <c r="M31" s="86"/>
      <c r="N31" s="79"/>
      <c r="O31" s="79"/>
      <c r="P31" s="111" t="s">
        <v>23</v>
      </c>
      <c r="Q31" s="14" t="s">
        <v>58</v>
      </c>
      <c r="R31" s="79"/>
    </row>
    <row r="32" spans="1:18" ht="33" hidden="1" customHeight="1" thickBot="1">
      <c r="A32" s="124"/>
      <c r="B32" s="127" t="s">
        <v>37</v>
      </c>
      <c r="C32" s="132">
        <f>COUNTIFS(Observaciones[[#All],[Estado]],Resumen!$P$22,Observaciones[[#All],[Severidad]],Resumen!$P$13)+COUNTIFS(Observaciones[[#All],[Estado]],$P$23,Observaciones[[#All],[Severidad]],Resumen!$P$13)</f>
        <v>3</v>
      </c>
      <c r="D32" s="129">
        <f>C32/$C$10</f>
        <v>0.25</v>
      </c>
      <c r="E32" s="130">
        <f>COUNTIFS(Observaciones[[#All],[Estado]],Resumen!$P$24,Observaciones[[#All],[Severidad]],Resumen!$P$13)</f>
        <v>0</v>
      </c>
      <c r="F32" s="129">
        <f>E32/$C$10</f>
        <v>0</v>
      </c>
      <c r="G32" s="124"/>
      <c r="H32" s="127" t="s">
        <v>37</v>
      </c>
      <c r="I32" s="131">
        <f>COUNTIFS(Observaciones[[#All],[Severidad]],Resumen!$P$13,Observaciones[[#All],[Prioridad]],Resumen!$P$17)</f>
        <v>0</v>
      </c>
      <c r="J32" s="131">
        <f>COUNTIFS(Observaciones[[#All],[Severidad]],Resumen!$P$13,Observaciones[[#All],[Prioridad]],Resumen!$P$18)</f>
        <v>0</v>
      </c>
      <c r="K32" s="131">
        <f>COUNTIFS(Observaciones[[#All],[Severidad]],Resumen!$P$13,Observaciones[[#All],[Prioridad]],Resumen!$P$19)</f>
        <v>0</v>
      </c>
      <c r="L32" s="122"/>
      <c r="M32" s="86"/>
      <c r="N32" s="79"/>
      <c r="O32" s="79"/>
      <c r="P32" s="112" t="s">
        <v>24</v>
      </c>
      <c r="Q32" s="14" t="s">
        <v>67</v>
      </c>
    </row>
    <row r="33" spans="1:18" ht="15.75" hidden="1" thickBot="1">
      <c r="A33" s="124"/>
      <c r="B33" s="127" t="s">
        <v>39</v>
      </c>
      <c r="C33" s="132">
        <f>COUNTIFS(Observaciones[[#All],[Estado]],Resumen!$P$22,Observaciones[[#All],[Severidad]],Resumen!$P$14)+COUNTIFS(Observaciones[[#All],[Estado]],$P$23,Observaciones[[#All],[Severidad]],Resumen!$P$14)</f>
        <v>4</v>
      </c>
      <c r="D33" s="129">
        <f>C33/$C$10</f>
        <v>0.33333333333333331</v>
      </c>
      <c r="E33" s="130">
        <f>COUNTIFS(Observaciones[[#All],[Estado]],Resumen!$P$24,Observaciones[[#All],[Severidad]],Resumen!$P$14)</f>
        <v>0</v>
      </c>
      <c r="F33" s="129">
        <f>E33/$C$10</f>
        <v>0</v>
      </c>
      <c r="G33" s="124"/>
      <c r="H33" s="127" t="s">
        <v>39</v>
      </c>
      <c r="I33" s="131">
        <f>COUNTIFS(Observaciones[[#All],[Severidad]],Resumen!$P$14,Observaciones[[#All],[Prioridad]],Resumen!$P$17)</f>
        <v>0</v>
      </c>
      <c r="J33" s="131">
        <f>COUNTIFS(Observaciones[[#All],[Severidad]],Resumen!$P$14,Observaciones[[#All],[Prioridad]],Resumen!$P$18)</f>
        <v>0</v>
      </c>
      <c r="K33" s="131">
        <f>COUNTIFS(Observaciones[[#All],[Severidad]],Resumen!$P$14,Observaciones[[#All],[Prioridad]],Resumen!$P$19)</f>
        <v>1</v>
      </c>
      <c r="L33" s="122"/>
      <c r="M33" s="86"/>
      <c r="N33" s="79"/>
      <c r="O33" s="79"/>
      <c r="P33" s="79"/>
      <c r="Q33" s="79"/>
      <c r="R33" s="79"/>
    </row>
    <row r="34" spans="1:18" ht="15.75" hidden="1" thickBot="1">
      <c r="A34" s="124"/>
      <c r="B34" s="127" t="s">
        <v>72</v>
      </c>
      <c r="C34" s="133">
        <f>SUM(C30:C33)</f>
        <v>12</v>
      </c>
      <c r="D34" s="134">
        <f>SUM(D30:D33)</f>
        <v>1</v>
      </c>
      <c r="E34" s="133">
        <f>SUM(E30:E33)</f>
        <v>0</v>
      </c>
      <c r="F34" s="134">
        <f>SUM(F30:F33)</f>
        <v>0</v>
      </c>
      <c r="G34" s="124"/>
      <c r="H34" s="127" t="s">
        <v>72</v>
      </c>
      <c r="I34" s="135">
        <f>SUM(I30:I33)</f>
        <v>0</v>
      </c>
      <c r="J34" s="135">
        <f>SUM(J30:J33)</f>
        <v>0</v>
      </c>
      <c r="K34" s="135">
        <f>SUM(K30:K33)</f>
        <v>1</v>
      </c>
      <c r="L34" s="122"/>
      <c r="M34" s="86"/>
      <c r="N34" s="79"/>
      <c r="O34" s="79"/>
      <c r="P34" s="10" t="s">
        <v>59</v>
      </c>
      <c r="Q34" s="11" t="s">
        <v>3</v>
      </c>
      <c r="R34" s="79"/>
    </row>
    <row r="35" spans="1:18" ht="33" hidden="1" customHeight="1" thickBot="1">
      <c r="A35" s="124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79"/>
      <c r="N35" s="79"/>
      <c r="O35" s="79"/>
      <c r="P35" s="26" t="s">
        <v>60</v>
      </c>
      <c r="Q35" s="27" t="s">
        <v>61</v>
      </c>
      <c r="R35" s="79"/>
    </row>
    <row r="36" spans="1:18" ht="33" hidden="1" customHeight="1" thickBot="1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28" t="s">
        <v>62</v>
      </c>
      <c r="Q36" s="29" t="s">
        <v>63</v>
      </c>
      <c r="R36" s="79"/>
    </row>
    <row r="37" spans="1:18" ht="33" hidden="1" customHeight="1" thickBot="1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30" t="s">
        <v>64</v>
      </c>
      <c r="Q37" s="29" t="s">
        <v>65</v>
      </c>
      <c r="R37" s="79"/>
    </row>
    <row r="38" spans="1:18" hidden="1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70" priority="1" stopIfTrue="1">
      <formula>NOT(ISERROR(SEARCH("INSATISFACTORIO",G4)))</formula>
    </cfRule>
    <cfRule type="expression" dxfId="69" priority="2" stopIfTrue="1">
      <formula>NOT(ISERROR(SEARCH("SATISFACTORIO con Observaciones",G4)))</formula>
    </cfRule>
    <cfRule type="expression" dxfId="68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55" workbookViewId="0">
      <selection activeCell="I17" sqref="I17"/>
    </sheetView>
  </sheetViews>
  <sheetFormatPr baseColWidth="10" defaultRowHeight="15"/>
  <cols>
    <col min="1" max="1" width="4.28515625" customWidth="1"/>
    <col min="2" max="2" width="15.85546875" customWidth="1"/>
    <col min="3" max="3" width="19.42578125" customWidth="1"/>
    <col min="6" max="6" width="3.5703125" customWidth="1"/>
    <col min="7" max="7" width="15.85546875" customWidth="1"/>
    <col min="8" max="8" width="18.7109375" bestFit="1" customWidth="1"/>
    <col min="9" max="9" width="5.140625" customWidth="1"/>
    <col min="12" max="12" width="15.85546875" customWidth="1"/>
    <col min="13" max="13" width="16.42578125" bestFit="1" customWidth="1"/>
    <col min="17" max="17" width="8.140625" customWidth="1"/>
  </cols>
  <sheetData>
    <row r="1" spans="1:18" ht="21">
      <c r="A1" s="198" t="s">
        <v>114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</row>
    <row r="22" spans="1:18" ht="21">
      <c r="A22" s="198" t="s">
        <v>115</v>
      </c>
      <c r="B22" s="198"/>
      <c r="C22" s="198"/>
      <c r="D22" s="198"/>
      <c r="E22" s="198"/>
      <c r="F22" s="198"/>
      <c r="G22" s="198"/>
      <c r="H22" s="198"/>
      <c r="I22" s="198"/>
      <c r="J22" s="198"/>
      <c r="K22" s="198"/>
      <c r="L22" s="198"/>
      <c r="M22" s="198"/>
      <c r="N22" s="198"/>
      <c r="O22" s="198"/>
      <c r="P22" s="198"/>
      <c r="Q22" s="198"/>
      <c r="R22" s="198"/>
    </row>
    <row r="44" spans="1:18" ht="21">
      <c r="A44" s="198" t="s">
        <v>116</v>
      </c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8"/>
      <c r="Q44" s="198"/>
      <c r="R44" s="198"/>
    </row>
    <row r="66" spans="1:18" ht="21">
      <c r="A66" s="198" t="s">
        <v>117</v>
      </c>
      <c r="B66" s="198"/>
      <c r="C66" s="198"/>
      <c r="D66" s="198"/>
      <c r="E66" s="198"/>
      <c r="F66" s="198"/>
      <c r="G66" s="198"/>
      <c r="H66" s="198"/>
      <c r="I66" s="198"/>
      <c r="J66" s="198"/>
      <c r="K66" s="198"/>
      <c r="L66" s="198"/>
      <c r="M66" s="198"/>
      <c r="N66" s="198"/>
      <c r="O66" s="198"/>
      <c r="P66" s="198"/>
      <c r="Q66" s="198"/>
      <c r="R66" s="198"/>
    </row>
    <row r="67" spans="1:18" ht="15.75" thickBot="1"/>
    <row r="68" spans="1:18" ht="15.75" thickBot="1">
      <c r="B68" s="199" t="s">
        <v>118</v>
      </c>
      <c r="C68" s="200"/>
      <c r="D68" s="200"/>
      <c r="E68" s="200"/>
      <c r="F68" s="201"/>
      <c r="G68" s="67" t="e">
        <f>AVERAGE(Observaciones[[#All],[Tiempo de Solución (Dias)]])</f>
        <v>#REF!</v>
      </c>
      <c r="H68" s="68" t="s">
        <v>119</v>
      </c>
    </row>
    <row r="70" spans="1:18">
      <c r="B70" s="69" t="s">
        <v>120</v>
      </c>
      <c r="C70" t="s">
        <v>122</v>
      </c>
      <c r="G70" s="69" t="s">
        <v>120</v>
      </c>
      <c r="H70" t="s">
        <v>123</v>
      </c>
      <c r="L70" s="69" t="s">
        <v>120</v>
      </c>
      <c r="M70" t="s">
        <v>124</v>
      </c>
    </row>
    <row r="71" spans="1:18">
      <c r="B71" s="70" t="s">
        <v>37</v>
      </c>
      <c r="C71" s="35">
        <v>1</v>
      </c>
      <c r="G71" s="70" t="s">
        <v>28</v>
      </c>
      <c r="H71" s="35">
        <v>2</v>
      </c>
      <c r="L71" s="70" t="s">
        <v>49</v>
      </c>
      <c r="M71" s="35">
        <v>2</v>
      </c>
    </row>
    <row r="72" spans="1:18">
      <c r="B72" s="70" t="s">
        <v>39</v>
      </c>
      <c r="C72" s="35">
        <v>1</v>
      </c>
      <c r="G72" s="70" t="s">
        <v>121</v>
      </c>
      <c r="H72" s="35">
        <v>2</v>
      </c>
      <c r="L72" s="70" t="s">
        <v>121</v>
      </c>
      <c r="M72" s="35">
        <v>2</v>
      </c>
    </row>
    <row r="73" spans="1:18">
      <c r="B73" s="70" t="s">
        <v>121</v>
      </c>
      <c r="C73" s="35">
        <v>2</v>
      </c>
    </row>
    <row r="87" spans="1:18" ht="21">
      <c r="A87" s="198" t="s">
        <v>125</v>
      </c>
      <c r="B87" s="198"/>
      <c r="C87" s="198"/>
      <c r="D87" s="198"/>
      <c r="E87" s="198"/>
      <c r="F87" s="198"/>
      <c r="G87" s="198"/>
      <c r="H87" s="198"/>
      <c r="I87" s="198"/>
      <c r="J87" s="198"/>
      <c r="K87" s="198"/>
      <c r="L87" s="198"/>
      <c r="M87" s="198"/>
      <c r="N87" s="198"/>
      <c r="O87" s="198"/>
      <c r="P87" s="198"/>
      <c r="Q87" s="198"/>
      <c r="R87" s="198"/>
    </row>
    <row r="88" spans="1:18" ht="15.75" thickBot="1"/>
    <row r="89" spans="1:18" ht="15.75" thickBot="1">
      <c r="B89" s="199" t="s">
        <v>126</v>
      </c>
      <c r="C89" s="200"/>
      <c r="D89" s="200"/>
      <c r="E89" s="200"/>
      <c r="F89" s="201"/>
      <c r="G89" s="67" t="e">
        <f>AVERAGE(Consultas[[#All],[Tiempo de Solución]])</f>
        <v>#DIV/0!</v>
      </c>
      <c r="H89" s="68" t="s">
        <v>119</v>
      </c>
    </row>
    <row r="91" spans="1:18">
      <c r="B91" s="69" t="s">
        <v>120</v>
      </c>
      <c r="C91" t="s">
        <v>128</v>
      </c>
      <c r="G91" s="69" t="s">
        <v>120</v>
      </c>
      <c r="H91" t="s">
        <v>123</v>
      </c>
      <c r="L91" s="69" t="s">
        <v>120</v>
      </c>
      <c r="M91" t="s">
        <v>124</v>
      </c>
    </row>
    <row r="92" spans="1:18">
      <c r="B92" s="70" t="s">
        <v>142</v>
      </c>
      <c r="C92" s="35"/>
      <c r="G92" s="70" t="s">
        <v>143</v>
      </c>
      <c r="H92" s="35">
        <v>1</v>
      </c>
      <c r="L92" s="70" t="s">
        <v>49</v>
      </c>
      <c r="M92" s="35">
        <v>1</v>
      </c>
    </row>
    <row r="93" spans="1:18">
      <c r="B93" s="70" t="s">
        <v>121</v>
      </c>
      <c r="C93" s="35"/>
      <c r="G93" s="70" t="s">
        <v>121</v>
      </c>
      <c r="H93" s="35">
        <v>1</v>
      </c>
      <c r="L93" s="70" t="s">
        <v>121</v>
      </c>
      <c r="M93" s="35">
        <v>1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6"/>
  <sheetViews>
    <sheetView tabSelected="1" topLeftCell="H4" zoomScale="86" zoomScaleNormal="86" workbookViewId="0">
      <selection activeCell="P12" sqref="P12"/>
    </sheetView>
  </sheetViews>
  <sheetFormatPr baseColWidth="10" defaultColWidth="0" defaultRowHeight="15"/>
  <cols>
    <col min="1" max="1" width="11.7109375" style="31" customWidth="1"/>
    <col min="2" max="2" width="8.85546875" style="31" customWidth="1"/>
    <col min="3" max="3" width="36.7109375" style="31" customWidth="1"/>
    <col min="4" max="4" width="67.42578125" style="31" bestFit="1" customWidth="1"/>
    <col min="5" max="5" width="23.140625" style="31" customWidth="1"/>
    <col min="6" max="6" width="14.42578125" style="33" bestFit="1" customWidth="1"/>
    <col min="7" max="7" width="12.5703125" style="31" customWidth="1"/>
    <col min="8" max="8" width="11.42578125" style="31" customWidth="1"/>
    <col min="9" max="10" width="14.5703125" style="31" customWidth="1"/>
    <col min="11" max="11" width="13.28515625" style="31" customWidth="1"/>
    <col min="12" max="12" width="14.42578125" style="32" customWidth="1"/>
    <col min="13" max="13" width="11.42578125" style="31" customWidth="1"/>
    <col min="14" max="14" width="12.140625" style="31" customWidth="1"/>
    <col min="15" max="15" width="22.42578125" style="31" customWidth="1"/>
    <col min="16" max="16" width="53.28515625" style="31" customWidth="1"/>
    <col min="17" max="17" width="23.5703125" style="31" customWidth="1"/>
    <col min="18" max="18" width="5" style="31" customWidth="1"/>
    <col min="19" max="23" width="0" style="31" hidden="1" customWidth="1"/>
    <col min="24" max="16384" width="11.42578125" style="31" hidden="1"/>
  </cols>
  <sheetData>
    <row r="1" spans="1:18">
      <c r="A1" s="100"/>
      <c r="B1" s="100"/>
      <c r="C1" s="100"/>
      <c r="D1" s="100"/>
      <c r="E1" s="100"/>
      <c r="F1" s="104"/>
      <c r="G1" s="100"/>
      <c r="H1" s="100"/>
      <c r="I1" s="100"/>
      <c r="J1" s="100"/>
      <c r="K1" s="100"/>
      <c r="L1" s="105"/>
      <c r="M1" s="100"/>
      <c r="N1" s="100"/>
      <c r="O1" s="100"/>
      <c r="P1" s="100"/>
      <c r="Q1" s="100"/>
      <c r="R1" s="100"/>
    </row>
    <row r="2" spans="1:18" ht="15" customHeight="1">
      <c r="A2" s="100"/>
      <c r="B2" s="100"/>
      <c r="C2" s="100"/>
      <c r="D2" s="155" t="s">
        <v>9</v>
      </c>
      <c r="E2" s="156" t="s">
        <v>203</v>
      </c>
      <c r="F2" s="157" t="s">
        <v>10</v>
      </c>
      <c r="G2" s="202" t="s">
        <v>202</v>
      </c>
      <c r="H2" s="203"/>
      <c r="I2" s="203"/>
      <c r="J2" s="203"/>
      <c r="K2" s="203"/>
      <c r="L2" s="203"/>
      <c r="M2" s="203"/>
      <c r="N2" s="204"/>
      <c r="O2" s="100"/>
      <c r="P2" s="100"/>
      <c r="Q2" s="100"/>
      <c r="R2" s="100"/>
    </row>
    <row r="3" spans="1:18" s="71" customFormat="1" ht="58.5" customHeight="1">
      <c r="A3" s="100"/>
      <c r="B3" s="100"/>
      <c r="C3" s="100"/>
      <c r="D3" s="101"/>
      <c r="E3" s="102"/>
      <c r="F3" s="103"/>
      <c r="G3" s="102"/>
      <c r="H3" s="102"/>
      <c r="I3" s="102"/>
      <c r="J3" s="102"/>
      <c r="K3" s="102"/>
      <c r="L3" s="102"/>
      <c r="M3" s="102"/>
      <c r="N3" s="102"/>
      <c r="O3" s="100"/>
      <c r="P3" s="100"/>
      <c r="Q3" s="100"/>
      <c r="R3" s="100"/>
    </row>
    <row r="4" spans="1:18" s="94" customFormat="1" ht="40.5" customHeight="1">
      <c r="A4" s="148" t="s">
        <v>133</v>
      </c>
      <c r="B4" s="149" t="s">
        <v>132</v>
      </c>
      <c r="C4" s="149" t="s">
        <v>73</v>
      </c>
      <c r="D4" s="149" t="s">
        <v>74</v>
      </c>
      <c r="E4" s="149" t="s">
        <v>75</v>
      </c>
      <c r="F4" s="150" t="s">
        <v>76</v>
      </c>
      <c r="G4" s="149" t="s">
        <v>77</v>
      </c>
      <c r="H4" s="149" t="s">
        <v>78</v>
      </c>
      <c r="I4" s="151" t="s">
        <v>79</v>
      </c>
      <c r="J4" s="151" t="s">
        <v>80</v>
      </c>
      <c r="K4" s="152" t="s">
        <v>81</v>
      </c>
      <c r="L4" s="153" t="s">
        <v>82</v>
      </c>
      <c r="M4" s="154" t="s">
        <v>83</v>
      </c>
      <c r="N4" s="149" t="s">
        <v>84</v>
      </c>
      <c r="O4" s="149" t="s">
        <v>85</v>
      </c>
      <c r="P4" s="149" t="s">
        <v>86</v>
      </c>
      <c r="Q4" s="149" t="s">
        <v>87</v>
      </c>
      <c r="R4" s="106"/>
    </row>
    <row r="5" spans="1:18" s="95" customFormat="1" ht="45">
      <c r="A5" s="95" t="s">
        <v>157</v>
      </c>
      <c r="B5" s="95" t="s">
        <v>88</v>
      </c>
      <c r="C5" s="95" t="s">
        <v>188</v>
      </c>
      <c r="D5" t="s">
        <v>199</v>
      </c>
      <c r="E5" s="95" t="s">
        <v>155</v>
      </c>
      <c r="F5" s="96" t="s">
        <v>158</v>
      </c>
      <c r="G5" s="95" t="s">
        <v>24</v>
      </c>
      <c r="H5" s="95" t="s">
        <v>29</v>
      </c>
      <c r="I5" s="97">
        <v>3</v>
      </c>
      <c r="J5" s="95" t="s">
        <v>47</v>
      </c>
      <c r="L5" s="98">
        <v>40667</v>
      </c>
      <c r="M5" s="98">
        <v>40667</v>
      </c>
      <c r="N5" s="95">
        <v>0.27</v>
      </c>
      <c r="P5" s="178" t="s">
        <v>161</v>
      </c>
      <c r="Q5" s="95" t="s">
        <v>187</v>
      </c>
      <c r="R5" s="107"/>
    </row>
    <row r="6" spans="1:18" ht="60" hidden="1">
      <c r="A6" s="95" t="s">
        <v>137</v>
      </c>
      <c r="B6" s="95" t="s">
        <v>150</v>
      </c>
      <c r="C6" s="95" t="s">
        <v>189</v>
      </c>
      <c r="D6" t="s">
        <v>200</v>
      </c>
      <c r="E6" s="95" t="s">
        <v>155</v>
      </c>
      <c r="F6" s="96" t="s">
        <v>158</v>
      </c>
      <c r="G6" s="95" t="s">
        <v>24</v>
      </c>
      <c r="H6" s="95" t="s">
        <v>28</v>
      </c>
      <c r="I6" s="97">
        <v>2</v>
      </c>
      <c r="J6" s="95" t="s">
        <v>47</v>
      </c>
      <c r="K6" s="95"/>
      <c r="L6" s="98">
        <v>40667</v>
      </c>
      <c r="M6" s="98">
        <v>40667</v>
      </c>
      <c r="N6" s="95">
        <v>0.27</v>
      </c>
      <c r="O6" s="95"/>
      <c r="P6" s="168" t="s">
        <v>163</v>
      </c>
      <c r="Q6" s="95" t="s">
        <v>187</v>
      </c>
    </row>
    <row r="7" spans="1:18" ht="45" hidden="1">
      <c r="A7" s="95" t="s">
        <v>137</v>
      </c>
      <c r="B7" s="95" t="s">
        <v>151</v>
      </c>
      <c r="C7" s="95" t="s">
        <v>190</v>
      </c>
      <c r="D7" t="s">
        <v>200</v>
      </c>
      <c r="E7" s="95" t="s">
        <v>155</v>
      </c>
      <c r="F7" s="96" t="s">
        <v>158</v>
      </c>
      <c r="G7" s="95" t="s">
        <v>24</v>
      </c>
      <c r="H7" s="95" t="s">
        <v>30</v>
      </c>
      <c r="I7" s="97">
        <v>4</v>
      </c>
      <c r="J7" s="95" t="s">
        <v>47</v>
      </c>
      <c r="K7" s="95"/>
      <c r="L7" s="98">
        <v>40667</v>
      </c>
      <c r="M7" s="98">
        <v>40667</v>
      </c>
      <c r="N7" s="95">
        <v>0.27</v>
      </c>
      <c r="O7" s="95"/>
      <c r="P7" s="178" t="s">
        <v>165</v>
      </c>
      <c r="Q7" s="95" t="s">
        <v>187</v>
      </c>
    </row>
    <row r="8" spans="1:18" ht="60" hidden="1">
      <c r="A8" s="95" t="s">
        <v>137</v>
      </c>
      <c r="B8" s="95" t="s">
        <v>152</v>
      </c>
      <c r="C8" s="95" t="s">
        <v>191</v>
      </c>
      <c r="D8" t="s">
        <v>200</v>
      </c>
      <c r="E8" s="95" t="s">
        <v>155</v>
      </c>
      <c r="F8" s="96" t="s">
        <v>159</v>
      </c>
      <c r="G8" s="95" t="s">
        <v>24</v>
      </c>
      <c r="H8" s="95" t="s">
        <v>29</v>
      </c>
      <c r="I8" s="97">
        <v>2</v>
      </c>
      <c r="J8" s="95" t="s">
        <v>47</v>
      </c>
      <c r="K8" s="95"/>
      <c r="L8" s="98">
        <v>40667</v>
      </c>
      <c r="M8" s="98">
        <v>40667</v>
      </c>
      <c r="N8" s="95">
        <v>0.27</v>
      </c>
      <c r="O8" s="95"/>
      <c r="P8" s="168" t="s">
        <v>167</v>
      </c>
      <c r="Q8" s="95" t="s">
        <v>187</v>
      </c>
    </row>
    <row r="9" spans="1:18" ht="30">
      <c r="A9" s="95" t="s">
        <v>137</v>
      </c>
      <c r="B9" s="95" t="s">
        <v>153</v>
      </c>
      <c r="C9" s="95" t="s">
        <v>192</v>
      </c>
      <c r="D9" t="s">
        <v>199</v>
      </c>
      <c r="E9" s="95" t="s">
        <v>155</v>
      </c>
      <c r="F9" s="96" t="s">
        <v>159</v>
      </c>
      <c r="G9" s="95" t="s">
        <v>24</v>
      </c>
      <c r="H9" s="95" t="s">
        <v>29</v>
      </c>
      <c r="I9" s="97">
        <v>2</v>
      </c>
      <c r="J9" s="95" t="s">
        <v>47</v>
      </c>
      <c r="K9" s="95"/>
      <c r="L9" s="98">
        <v>40667</v>
      </c>
      <c r="M9" s="98">
        <v>40667</v>
      </c>
      <c r="N9" s="95">
        <v>0.27</v>
      </c>
      <c r="O9" s="95"/>
      <c r="P9" s="178" t="s">
        <v>169</v>
      </c>
      <c r="Q9" s="95" t="s">
        <v>187</v>
      </c>
    </row>
    <row r="10" spans="1:18" ht="75">
      <c r="A10" s="95" t="s">
        <v>137</v>
      </c>
      <c r="B10" s="95" t="s">
        <v>171</v>
      </c>
      <c r="C10" s="95" t="s">
        <v>193</v>
      </c>
      <c r="D10" t="s">
        <v>199</v>
      </c>
      <c r="E10" s="95" t="s">
        <v>155</v>
      </c>
      <c r="F10" s="96" t="s">
        <v>159</v>
      </c>
      <c r="G10" s="95" t="s">
        <v>24</v>
      </c>
      <c r="H10" s="95" t="s">
        <v>29</v>
      </c>
      <c r="I10" s="97">
        <v>3</v>
      </c>
      <c r="J10" s="95" t="s">
        <v>47</v>
      </c>
      <c r="K10" s="95"/>
      <c r="L10" s="98">
        <v>40667</v>
      </c>
      <c r="M10" s="98">
        <v>40667</v>
      </c>
      <c r="N10" s="95">
        <v>0.27</v>
      </c>
      <c r="O10" s="95"/>
      <c r="P10" s="178" t="s">
        <v>172</v>
      </c>
      <c r="Q10" s="95" t="s">
        <v>187</v>
      </c>
    </row>
    <row r="11" spans="1:18" ht="60">
      <c r="A11" s="95" t="s">
        <v>137</v>
      </c>
      <c r="B11" s="95" t="s">
        <v>174</v>
      </c>
      <c r="C11" s="95" t="s">
        <v>194</v>
      </c>
      <c r="D11" t="s">
        <v>199</v>
      </c>
      <c r="E11" s="95" t="s">
        <v>155</v>
      </c>
      <c r="F11" s="96" t="s">
        <v>159</v>
      </c>
      <c r="G11" s="95" t="s">
        <v>24</v>
      </c>
      <c r="H11" s="95" t="s">
        <v>28</v>
      </c>
      <c r="I11" s="97">
        <v>1</v>
      </c>
      <c r="J11" s="95" t="s">
        <v>47</v>
      </c>
      <c r="K11" s="95"/>
      <c r="L11" s="98">
        <v>40667</v>
      </c>
      <c r="M11" s="98">
        <v>40667</v>
      </c>
      <c r="N11" s="95">
        <v>0.27</v>
      </c>
      <c r="O11" s="95"/>
      <c r="P11" s="208" t="s">
        <v>175</v>
      </c>
      <c r="Q11" s="95" t="s">
        <v>187</v>
      </c>
    </row>
    <row r="12" spans="1:18" ht="45">
      <c r="A12" s="95" t="s">
        <v>137</v>
      </c>
      <c r="B12" s="95" t="s">
        <v>177</v>
      </c>
      <c r="C12" s="95" t="s">
        <v>195</v>
      </c>
      <c r="D12" t="s">
        <v>199</v>
      </c>
      <c r="E12" s="95" t="s">
        <v>155</v>
      </c>
      <c r="F12" s="96" t="s">
        <v>159</v>
      </c>
      <c r="G12" s="95" t="s">
        <v>24</v>
      </c>
      <c r="H12" s="95" t="s">
        <v>28</v>
      </c>
      <c r="I12" s="97">
        <v>1</v>
      </c>
      <c r="J12" s="95" t="s">
        <v>47</v>
      </c>
      <c r="K12" s="95"/>
      <c r="L12" s="98">
        <v>40667</v>
      </c>
      <c r="M12" s="98">
        <v>40667</v>
      </c>
      <c r="N12" s="95">
        <v>0.27</v>
      </c>
      <c r="O12" s="95"/>
      <c r="P12" s="168" t="s">
        <v>178</v>
      </c>
      <c r="Q12" s="95" t="s">
        <v>187</v>
      </c>
    </row>
    <row r="13" spans="1:18" ht="45">
      <c r="A13" s="95" t="s">
        <v>137</v>
      </c>
      <c r="B13" s="95" t="s">
        <v>154</v>
      </c>
      <c r="C13" s="95" t="s">
        <v>196</v>
      </c>
      <c r="D13" t="s">
        <v>199</v>
      </c>
      <c r="E13" s="95" t="s">
        <v>155</v>
      </c>
      <c r="F13" s="96" t="s">
        <v>159</v>
      </c>
      <c r="G13" s="95" t="s">
        <v>24</v>
      </c>
      <c r="H13" s="95" t="s">
        <v>30</v>
      </c>
      <c r="I13" s="97">
        <v>4</v>
      </c>
      <c r="J13" s="95" t="s">
        <v>47</v>
      </c>
      <c r="K13" s="95"/>
      <c r="L13" s="98">
        <v>40667</v>
      </c>
      <c r="M13" s="98">
        <v>40667</v>
      </c>
      <c r="N13" s="95">
        <v>0.27</v>
      </c>
      <c r="O13" s="95"/>
      <c r="P13" s="178" t="s">
        <v>180</v>
      </c>
      <c r="Q13" s="95" t="s">
        <v>187</v>
      </c>
    </row>
    <row r="14" spans="1:18" ht="30">
      <c r="A14" s="95" t="s">
        <v>137</v>
      </c>
      <c r="B14" s="95" t="s">
        <v>182</v>
      </c>
      <c r="C14" s="95" t="s">
        <v>197</v>
      </c>
      <c r="D14" s="31" t="s">
        <v>199</v>
      </c>
      <c r="E14" s="95" t="s">
        <v>155</v>
      </c>
      <c r="F14" s="96" t="s">
        <v>159</v>
      </c>
      <c r="G14" s="95" t="s">
        <v>24</v>
      </c>
      <c r="H14" s="95" t="s">
        <v>30</v>
      </c>
      <c r="I14" s="97">
        <v>4</v>
      </c>
      <c r="J14" s="95" t="s">
        <v>47</v>
      </c>
      <c r="K14" s="95"/>
      <c r="L14" s="98">
        <v>40667</v>
      </c>
      <c r="M14" s="98">
        <v>40667</v>
      </c>
      <c r="N14" s="95">
        <v>0.27</v>
      </c>
      <c r="O14" s="95"/>
      <c r="P14" s="178" t="s">
        <v>183</v>
      </c>
      <c r="Q14" s="95" t="s">
        <v>187</v>
      </c>
    </row>
    <row r="15" spans="1:18" ht="30" hidden="1">
      <c r="A15" s="95" t="s">
        <v>137</v>
      </c>
      <c r="B15" s="95" t="s">
        <v>185</v>
      </c>
      <c r="C15" s="95" t="s">
        <v>198</v>
      </c>
      <c r="D15" s="31" t="s">
        <v>201</v>
      </c>
      <c r="E15" s="95" t="s">
        <v>155</v>
      </c>
      <c r="F15" s="96" t="s">
        <v>159</v>
      </c>
      <c r="G15" s="95" t="s">
        <v>24</v>
      </c>
      <c r="H15" s="95" t="s">
        <v>29</v>
      </c>
      <c r="I15" s="97">
        <v>3</v>
      </c>
      <c r="J15" s="95" t="s">
        <v>47</v>
      </c>
      <c r="K15" s="95"/>
      <c r="L15" s="98">
        <v>40667</v>
      </c>
      <c r="M15" s="98">
        <v>40667</v>
      </c>
      <c r="N15" s="95">
        <v>0.27</v>
      </c>
      <c r="O15" s="95"/>
      <c r="P15" s="168" t="s">
        <v>186</v>
      </c>
      <c r="Q15" s="95" t="s">
        <v>187</v>
      </c>
    </row>
    <row r="16" spans="1:18" ht="30" hidden="1">
      <c r="A16" s="173" t="s">
        <v>137</v>
      </c>
      <c r="B16" s="173" t="s">
        <v>208</v>
      </c>
      <c r="C16" s="173" t="s">
        <v>211</v>
      </c>
      <c r="D16" s="174" t="s">
        <v>212</v>
      </c>
      <c r="E16" s="173" t="s">
        <v>155</v>
      </c>
      <c r="F16" s="175" t="s">
        <v>159</v>
      </c>
      <c r="G16" s="176" t="s">
        <v>24</v>
      </c>
      <c r="H16" s="173" t="s">
        <v>213</v>
      </c>
      <c r="I16" s="176">
        <v>4</v>
      </c>
      <c r="J16" s="173" t="s">
        <v>47</v>
      </c>
      <c r="K16" s="173"/>
      <c r="L16" s="177">
        <f>General!$A$10</f>
        <v>40667</v>
      </c>
      <c r="M16" s="177">
        <v>40667</v>
      </c>
      <c r="N16" s="173">
        <v>0.27</v>
      </c>
      <c r="O16" s="173"/>
      <c r="P16" s="170" t="s">
        <v>209</v>
      </c>
      <c r="Q16" s="173" t="str">
        <f>CONCATENATE(General!$B$7," ",General!$B$6)</f>
        <v>Daniella Valdez Sandra Tovar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G5:G16</xm:sqref>
        </x14:dataValidation>
        <x14:dataValidation type="list" allowBlank="1" showInputMessage="1" showErrorMessage="1">
          <x14:formula1>
            <xm:f>Resumen!$P$17:$P$19</xm:f>
          </x14:formula1>
          <xm:sqref>H5:H16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14"/>
  <sheetViews>
    <sheetView topLeftCell="A9" zoomScale="85" zoomScaleNormal="85" workbookViewId="0">
      <selection activeCell="I14" sqref="I14"/>
    </sheetView>
  </sheetViews>
  <sheetFormatPr baseColWidth="10" defaultColWidth="0" defaultRowHeight="15"/>
  <cols>
    <col min="1" max="1" width="12.7109375" style="77" customWidth="1"/>
    <col min="2" max="5" width="12.7109375" style="34" customWidth="1"/>
    <col min="6" max="7" width="12.7109375" style="78" customWidth="1"/>
    <col min="8" max="8" width="13.28515625" style="99" customWidth="1"/>
    <col min="9" max="9" width="41.5703125" style="34" customWidth="1"/>
    <col min="10" max="10" width="40.42578125" style="34" customWidth="1"/>
    <col min="11" max="11" width="12.7109375" style="31" customWidth="1"/>
    <col min="12" max="12" width="13.85546875" style="31" customWidth="1"/>
    <col min="13" max="16383" width="11.42578125" style="31" hidden="1"/>
    <col min="16384" max="16384" width="3.7109375" style="31" hidden="1" customWidth="1"/>
  </cols>
  <sheetData>
    <row r="1" spans="1:14" customFormat="1" ht="31.5">
      <c r="A1" s="205" t="s">
        <v>96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N1" s="31" t="s">
        <v>130</v>
      </c>
    </row>
    <row r="2" spans="1:14" s="76" customFormat="1" ht="38.25">
      <c r="A2" s="158" t="s">
        <v>89</v>
      </c>
      <c r="B2" s="159" t="s">
        <v>90</v>
      </c>
      <c r="C2" s="159" t="s">
        <v>78</v>
      </c>
      <c r="D2" s="159" t="s">
        <v>79</v>
      </c>
      <c r="E2" s="159" t="s">
        <v>91</v>
      </c>
      <c r="F2" s="160" t="s">
        <v>92</v>
      </c>
      <c r="G2" s="160" t="s">
        <v>93</v>
      </c>
      <c r="H2" s="160" t="s">
        <v>127</v>
      </c>
      <c r="I2" s="159" t="s">
        <v>3</v>
      </c>
      <c r="J2" s="159" t="s">
        <v>94</v>
      </c>
      <c r="K2" s="161" t="s">
        <v>103</v>
      </c>
      <c r="L2" s="161" t="s">
        <v>141</v>
      </c>
      <c r="N2" s="31" t="s">
        <v>131</v>
      </c>
    </row>
    <row r="3" spans="1:14" ht="60">
      <c r="A3" s="77" t="s">
        <v>160</v>
      </c>
      <c r="B3" s="34" t="s">
        <v>88</v>
      </c>
      <c r="C3" s="34" t="e">
        <f>VLOOKUP([1]!Observaciones[Caso de Prueba],[1]!CasoPrueba[[#All],[Código CP]:[Prioridad]],7,TRUE)</f>
        <v>#REF!</v>
      </c>
      <c r="D3" s="34" t="s">
        <v>37</v>
      </c>
      <c r="E3" s="34" t="s">
        <v>47</v>
      </c>
      <c r="F3" s="78">
        <v>40667</v>
      </c>
      <c r="I3" s="168" t="s">
        <v>161</v>
      </c>
      <c r="K3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3" s="34" t="e">
        <f>LOOKUP([1]!Observaciones[[#This Row],[Caso de Prueba]],[1]!CasoPrueba[Código CP],[1]!CasoPrueba[Código de REQ])</f>
        <v>#REF!</v>
      </c>
    </row>
    <row r="4" spans="1:14" ht="75">
      <c r="A4" s="77" t="s">
        <v>162</v>
      </c>
      <c r="B4" s="34" t="s">
        <v>150</v>
      </c>
      <c r="C4" s="34" t="e">
        <f>VLOOKUP([1]!Observaciones[Caso de Prueba],[1]!CasoPrueba[[#All],[Código CP]:[Prioridad]],7,TRUE)</f>
        <v>#REF!</v>
      </c>
      <c r="D4" s="34" t="s">
        <v>35</v>
      </c>
      <c r="E4" s="34" t="s">
        <v>47</v>
      </c>
      <c r="F4" s="78">
        <v>40667</v>
      </c>
      <c r="I4" s="168" t="s">
        <v>163</v>
      </c>
      <c r="K4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4" s="34" t="e">
        <f>LOOKUP([1]!Observaciones[[#This Row],[Caso de Prueba]],[1]!CasoPrueba[Código CP],[1]!CasoPrueba[Código de REQ])</f>
        <v>#REF!</v>
      </c>
    </row>
    <row r="5" spans="1:14" ht="60">
      <c r="A5" s="77" t="s">
        <v>164</v>
      </c>
      <c r="B5" s="34" t="s">
        <v>151</v>
      </c>
      <c r="C5" s="34" t="e">
        <f>VLOOKUP([1]!Observaciones[Caso de Prueba],[1]!CasoPrueba[[#All],[Código CP]:[Prioridad]],7,TRUE)</f>
        <v>#REF!</v>
      </c>
      <c r="D5" s="34" t="s">
        <v>39</v>
      </c>
      <c r="E5" s="34" t="s">
        <v>47</v>
      </c>
      <c r="F5" s="78">
        <v>40667</v>
      </c>
      <c r="I5" s="168" t="s">
        <v>165</v>
      </c>
      <c r="K5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5" s="34" t="e">
        <f>LOOKUP([1]!Observaciones[[#This Row],[Caso de Prueba]],[1]!CasoPrueba[Código CP],[1]!CasoPrueba[Código de REQ])</f>
        <v>#REF!</v>
      </c>
    </row>
    <row r="6" spans="1:14" ht="75">
      <c r="A6" s="77" t="s">
        <v>166</v>
      </c>
      <c r="B6" s="34" t="s">
        <v>152</v>
      </c>
      <c r="C6" s="34" t="e">
        <f>VLOOKUP([1]!Observaciones[Caso de Prueba],[1]!CasoPrueba[[#All],[Código CP]:[Prioridad]],7,TRUE)</f>
        <v>#REF!</v>
      </c>
      <c r="D6" s="34" t="s">
        <v>35</v>
      </c>
      <c r="E6" s="34" t="s">
        <v>47</v>
      </c>
      <c r="F6" s="78">
        <v>40667</v>
      </c>
      <c r="I6" s="168" t="s">
        <v>167</v>
      </c>
      <c r="K6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6" s="34" t="e">
        <f>LOOKUP([1]!Observaciones[[#This Row],[Caso de Prueba]],[1]!CasoPrueba[Código CP],[1]!CasoPrueba[Código de REQ])</f>
        <v>#REF!</v>
      </c>
    </row>
    <row r="7" spans="1:14" ht="30">
      <c r="A7" s="77" t="s">
        <v>168</v>
      </c>
      <c r="B7" s="34" t="s">
        <v>153</v>
      </c>
      <c r="C7" s="34" t="e">
        <f>VLOOKUP([1]!Observaciones[Caso de Prueba],[1]!CasoPrueba[[#All],[Código CP]:[Prioridad]],7,TRUE)</f>
        <v>#REF!</v>
      </c>
      <c r="D7" s="34" t="s">
        <v>35</v>
      </c>
      <c r="E7" s="34" t="s">
        <v>47</v>
      </c>
      <c r="F7" s="78">
        <v>40667</v>
      </c>
      <c r="I7" s="168" t="s">
        <v>169</v>
      </c>
      <c r="K7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7" s="34" t="e">
        <f>LOOKUP([1]!Observaciones[[#This Row],[Caso de Prueba]],[1]!CasoPrueba[Código CP],[1]!CasoPrueba[Código de REQ])</f>
        <v>#REF!</v>
      </c>
    </row>
    <row r="8" spans="1:14" ht="105">
      <c r="A8" s="77" t="s">
        <v>170</v>
      </c>
      <c r="B8" s="34" t="s">
        <v>171</v>
      </c>
      <c r="C8" s="34" t="e">
        <f>VLOOKUP([1]!Observaciones[Caso de Prueba],[1]!CasoPrueba[[#All],[Código CP]:[Prioridad]],7,TRUE)</f>
        <v>#REF!</v>
      </c>
      <c r="D8" s="34" t="s">
        <v>37</v>
      </c>
      <c r="E8" s="34" t="s">
        <v>47</v>
      </c>
      <c r="F8" s="78">
        <v>40667</v>
      </c>
      <c r="I8" s="168" t="s">
        <v>172</v>
      </c>
      <c r="K8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8" s="34" t="e">
        <f>LOOKUP([1]!Observaciones[[#This Row],[Caso de Prueba]],[1]!CasoPrueba[Código CP],[1]!CasoPrueba[Código de REQ])</f>
        <v>#REF!</v>
      </c>
    </row>
    <row r="9" spans="1:14" ht="75">
      <c r="A9" s="77" t="s">
        <v>173</v>
      </c>
      <c r="B9" s="34" t="s">
        <v>174</v>
      </c>
      <c r="C9" s="34" t="e">
        <f>VLOOKUP([1]!Observaciones[Caso de Prueba],[1]!CasoPrueba[[#All],[Código CP]:[Prioridad]],7,TRUE)</f>
        <v>#REF!</v>
      </c>
      <c r="D9" s="34" t="s">
        <v>33</v>
      </c>
      <c r="E9" s="34" t="s">
        <v>47</v>
      </c>
      <c r="F9" s="78">
        <v>40667</v>
      </c>
      <c r="I9" s="168" t="s">
        <v>175</v>
      </c>
      <c r="K9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9" s="34" t="e">
        <f>LOOKUP([1]!Observaciones[[#This Row],[Caso de Prueba]],[1]!CasoPrueba[Código CP],[1]!CasoPrueba[Código de REQ])</f>
        <v>#REF!</v>
      </c>
    </row>
    <row r="10" spans="1:14" ht="45">
      <c r="A10" s="77" t="s">
        <v>176</v>
      </c>
      <c r="B10" s="34" t="s">
        <v>177</v>
      </c>
      <c r="C10" s="34" t="e">
        <f>VLOOKUP([1]!Observaciones[Caso de Prueba],[1]!CasoPrueba[[#All],[Código CP]:[Prioridad]],7,TRUE)</f>
        <v>#REF!</v>
      </c>
      <c r="D10" s="34" t="s">
        <v>33</v>
      </c>
      <c r="E10" s="34" t="s">
        <v>47</v>
      </c>
      <c r="F10" s="78">
        <v>40667</v>
      </c>
      <c r="I10" s="168" t="s">
        <v>178</v>
      </c>
      <c r="K10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0" s="34" t="e">
        <f>LOOKUP([1]!Observaciones[[#This Row],[Caso de Prueba]],[1]!CasoPrueba[Código CP],[1]!CasoPrueba[Código de REQ])</f>
        <v>#REF!</v>
      </c>
    </row>
    <row r="11" spans="1:14" ht="60">
      <c r="A11" s="77" t="s">
        <v>179</v>
      </c>
      <c r="B11" s="34" t="s">
        <v>154</v>
      </c>
      <c r="C11" s="34" t="e">
        <f>VLOOKUP([1]!Observaciones[Caso de Prueba],[1]!CasoPrueba[[#All],[Código CP]:[Prioridad]],7,TRUE)</f>
        <v>#REF!</v>
      </c>
      <c r="D11" s="34" t="s">
        <v>39</v>
      </c>
      <c r="E11" s="34" t="s">
        <v>47</v>
      </c>
      <c r="F11" s="78">
        <v>40667</v>
      </c>
      <c r="I11" s="168" t="s">
        <v>180</v>
      </c>
      <c r="K11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1" s="34" t="e">
        <f>LOOKUP([1]!Observaciones[[#This Row],[Caso de Prueba]],[1]!CasoPrueba[Código CP],[1]!CasoPrueba[Código de REQ])</f>
        <v>#REF!</v>
      </c>
    </row>
    <row r="12" spans="1:14" ht="30">
      <c r="A12" s="77" t="s">
        <v>181</v>
      </c>
      <c r="B12" s="34" t="s">
        <v>182</v>
      </c>
      <c r="C12" s="34" t="e">
        <f>VLOOKUP([1]!Observaciones[Caso de Prueba],[1]!CasoPrueba[[#All],[Código CP]:[Prioridad]],7,TRUE)</f>
        <v>#REF!</v>
      </c>
      <c r="D12" s="34" t="s">
        <v>39</v>
      </c>
      <c r="E12" s="34" t="s">
        <v>47</v>
      </c>
      <c r="F12" s="78">
        <v>40667</v>
      </c>
      <c r="I12" s="168" t="s">
        <v>183</v>
      </c>
      <c r="K12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2" s="34" t="e">
        <f>LOOKUP([1]!Observaciones[[#This Row],[Caso de Prueba]],[1]!CasoPrueba[Código CP],[1]!CasoPrueba[Código de REQ])</f>
        <v>#REF!</v>
      </c>
    </row>
    <row r="13" spans="1:14" ht="45">
      <c r="A13" s="77" t="s">
        <v>184</v>
      </c>
      <c r="B13" s="34" t="s">
        <v>185</v>
      </c>
      <c r="C13" s="34" t="e">
        <f>VLOOKUP([1]!Observaciones[Caso de Prueba],[1]!CasoPrueba[[#All],[Código CP]:[Prioridad]],7,TRUE)</f>
        <v>#REF!</v>
      </c>
      <c r="D13" s="34" t="s">
        <v>37</v>
      </c>
      <c r="E13" s="34" t="s">
        <v>47</v>
      </c>
      <c r="F13" s="78">
        <v>40667</v>
      </c>
      <c r="I13" s="168" t="s">
        <v>186</v>
      </c>
      <c r="K13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3" s="34" t="e">
        <f>LOOKUP([1]!Observaciones[[#This Row],[Caso de Prueba]],[1]!CasoPrueba[Código CP],[1]!CasoPrueba[Código de REQ])</f>
        <v>#REF!</v>
      </c>
    </row>
    <row r="14" spans="1:14" ht="45">
      <c r="A14" s="169" t="s">
        <v>207</v>
      </c>
      <c r="B14" s="170" t="s">
        <v>208</v>
      </c>
      <c r="C14" s="170" t="s">
        <v>30</v>
      </c>
      <c r="D14" s="170" t="s">
        <v>39</v>
      </c>
      <c r="E14" s="170" t="s">
        <v>47</v>
      </c>
      <c r="F14" s="171">
        <v>40667</v>
      </c>
      <c r="G14" s="171"/>
      <c r="H14" s="172"/>
      <c r="I14" s="170" t="s">
        <v>209</v>
      </c>
      <c r="J14" s="170"/>
      <c r="K14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4" s="170" t="s">
        <v>210</v>
      </c>
    </row>
  </sheetData>
  <mergeCells count="1">
    <mergeCell ref="A1:K1"/>
  </mergeCells>
  <dataValidations count="1">
    <dataValidation type="list" allowBlank="1" showInputMessage="1" showErrorMessage="1" sqref="H3:H14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3"/>
  <sheetViews>
    <sheetView zoomScale="90" zoomScaleNormal="90" workbookViewId="0">
      <selection activeCell="J3" sqref="A3:J3"/>
    </sheetView>
  </sheetViews>
  <sheetFormatPr baseColWidth="10" defaultColWidth="0" defaultRowHeight="15"/>
  <cols>
    <col min="1" max="4" width="13.28515625" style="31" customWidth="1"/>
    <col min="5" max="5" width="18.28515625" style="31" customWidth="1"/>
    <col min="6" max="7" width="13.28515625" style="32" customWidth="1"/>
    <col min="8" max="9" width="38.140625" style="31" customWidth="1"/>
    <col min="10" max="10" width="13.28515625" style="31" customWidth="1"/>
    <col min="11" max="11" width="11.42578125" style="31" customWidth="1"/>
    <col min="12" max="16384" width="0" style="31" hidden="1"/>
  </cols>
  <sheetData>
    <row r="1" spans="1:13 16384:16384" customFormat="1" ht="31.5">
      <c r="A1" s="206" t="s">
        <v>102</v>
      </c>
      <c r="B1" s="206"/>
      <c r="C1" s="206"/>
      <c r="D1" s="206"/>
      <c r="E1" s="206"/>
      <c r="F1" s="206"/>
      <c r="G1" s="206"/>
      <c r="H1" s="206"/>
      <c r="I1" s="206"/>
      <c r="J1" s="206"/>
      <c r="K1" s="36"/>
      <c r="L1" s="36"/>
      <c r="M1" t="s">
        <v>144</v>
      </c>
      <c r="XFD1" s="31"/>
    </row>
    <row r="2" spans="1:13 16384:16384" ht="39.75" customHeight="1">
      <c r="A2" s="162" t="s">
        <v>97</v>
      </c>
      <c r="B2" s="162" t="s">
        <v>90</v>
      </c>
      <c r="C2" s="162" t="s">
        <v>78</v>
      </c>
      <c r="D2" s="162" t="s">
        <v>91</v>
      </c>
      <c r="E2" s="162" t="s">
        <v>127</v>
      </c>
      <c r="F2" s="163" t="s">
        <v>98</v>
      </c>
      <c r="G2" s="163" t="s">
        <v>99</v>
      </c>
      <c r="H2" s="162" t="s">
        <v>100</v>
      </c>
      <c r="I2" s="162" t="s">
        <v>101</v>
      </c>
      <c r="J2" s="162" t="s">
        <v>95</v>
      </c>
      <c r="M2" s="31" t="s">
        <v>145</v>
      </c>
    </row>
    <row r="3" spans="1:13 16384:16384" ht="41.25" customHeight="1">
      <c r="C3" s="34"/>
      <c r="J3" s="34"/>
      <c r="M3" s="31" t="s">
        <v>146</v>
      </c>
    </row>
  </sheetData>
  <mergeCells count="1">
    <mergeCell ref="A1:J1"/>
  </mergeCells>
  <dataValidations count="1">
    <dataValidation type="list" allowBlank="1" showInputMessage="1" showErrorMessage="1" sqref="E3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O5" sqref="O5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07" t="s">
        <v>110</v>
      </c>
      <c r="C2" s="207"/>
      <c r="D2" s="207"/>
      <c r="E2" s="207"/>
      <c r="F2" s="207"/>
      <c r="G2" s="207"/>
      <c r="H2" s="207"/>
      <c r="I2" s="207"/>
      <c r="J2" s="207"/>
      <c r="L2" s="207" t="s">
        <v>111</v>
      </c>
      <c r="M2" s="207"/>
      <c r="N2" s="207"/>
      <c r="O2" s="207"/>
    </row>
    <row r="3" spans="2:15" ht="26.25" thickBot="1">
      <c r="B3" s="164" t="s">
        <v>112</v>
      </c>
      <c r="C3" s="166" t="s">
        <v>104</v>
      </c>
      <c r="D3" s="166" t="s">
        <v>105</v>
      </c>
      <c r="E3" s="166" t="s">
        <v>21</v>
      </c>
      <c r="F3" s="166" t="s">
        <v>22</v>
      </c>
      <c r="G3" s="166" t="s">
        <v>23</v>
      </c>
      <c r="H3" s="167" t="s">
        <v>24</v>
      </c>
      <c r="I3" s="167" t="s">
        <v>106</v>
      </c>
      <c r="J3" s="167" t="s">
        <v>109</v>
      </c>
      <c r="L3" s="164" t="s">
        <v>112</v>
      </c>
      <c r="M3" s="165" t="s">
        <v>107</v>
      </c>
      <c r="N3" s="166" t="s">
        <v>108</v>
      </c>
      <c r="O3" s="167" t="s">
        <v>109</v>
      </c>
    </row>
    <row r="4" spans="2:15">
      <c r="B4" s="37"/>
      <c r="C4" s="39"/>
      <c r="D4" s="39"/>
      <c r="E4" s="39"/>
      <c r="F4" s="39"/>
      <c r="G4" s="39"/>
      <c r="H4" s="39"/>
      <c r="I4" s="39"/>
      <c r="J4" s="41"/>
      <c r="L4" s="37">
        <v>40667</v>
      </c>
      <c r="M4" s="39">
        <v>12</v>
      </c>
      <c r="N4" s="39"/>
      <c r="O4" s="38">
        <v>12</v>
      </c>
    </row>
    <row r="5" spans="2:15">
      <c r="B5" s="72"/>
      <c r="C5" s="40"/>
      <c r="D5" s="40"/>
      <c r="E5" s="40"/>
      <c r="F5" s="40"/>
      <c r="G5" s="40"/>
      <c r="H5" s="40"/>
      <c r="I5" s="40"/>
      <c r="J5" s="42"/>
      <c r="L5" s="73"/>
      <c r="M5" s="74"/>
      <c r="N5" s="74"/>
      <c r="O5" s="75"/>
    </row>
    <row r="6" spans="2:15">
      <c r="B6" s="72"/>
      <c r="C6" s="64"/>
      <c r="D6" s="64"/>
      <c r="E6" s="64"/>
      <c r="F6" s="65"/>
      <c r="G6" s="66"/>
      <c r="H6" s="40"/>
      <c r="I6" s="40"/>
      <c r="J6" s="42"/>
      <c r="L6" s="73"/>
      <c r="M6" s="74"/>
      <c r="N6" s="74"/>
      <c r="O6" s="75"/>
    </row>
    <row r="7" spans="2:15">
      <c r="B7" s="72"/>
      <c r="C7" s="64"/>
      <c r="D7" s="64"/>
      <c r="E7" s="64"/>
      <c r="F7" s="65"/>
      <c r="G7" s="66"/>
      <c r="H7" s="40"/>
      <c r="I7" s="40"/>
      <c r="J7" s="42"/>
      <c r="L7" s="73"/>
      <c r="M7" s="74"/>
      <c r="N7" s="74"/>
      <c r="O7" s="75"/>
    </row>
    <row r="8" spans="2:15">
      <c r="B8" s="72"/>
      <c r="C8" s="64"/>
      <c r="D8" s="64"/>
      <c r="E8" s="64"/>
      <c r="F8" s="65"/>
      <c r="G8" s="66"/>
      <c r="H8" s="40"/>
      <c r="I8" s="40"/>
      <c r="J8" s="42"/>
      <c r="L8" s="73"/>
      <c r="M8" s="74"/>
      <c r="N8" s="74"/>
      <c r="O8" s="75"/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MARTIN</cp:lastModifiedBy>
  <dcterms:created xsi:type="dcterms:W3CDTF">2011-02-09T13:28:15Z</dcterms:created>
  <dcterms:modified xsi:type="dcterms:W3CDTF">2011-05-10T05:17:21Z</dcterms:modified>
</cp:coreProperties>
</file>