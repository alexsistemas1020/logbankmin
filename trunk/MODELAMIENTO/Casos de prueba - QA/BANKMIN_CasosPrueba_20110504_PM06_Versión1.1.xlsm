
<file path=[Content_Types].xml><?xml version="1.0" encoding="utf-8"?>
<Types xmlns="http://schemas.openxmlformats.org/package/2006/content-types"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4.xml" ContentType="application/vnd.openxmlformats-officedocument.spreadsheetml.pivotTable+xml"/>
  <Override PartName="/xl/charts/chart4.xml" ContentType="application/vnd.openxmlformats-officedocument.drawingml.char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6.xml" ContentType="application/vnd.openxmlformats-officedocument.spreadsheetml.pivotCacheDefinition+xml"/>
  <Default Extension="jpeg" ContentType="image/jpeg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Records6.xml" ContentType="application/vnd.openxmlformats-officedocument.spreadsheetml.pivotCacheRecords+xml"/>
  <Default Extension="vml" ContentType="application/vnd.openxmlformats-officedocument.vmlDrawing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charts/chart5.xml" ContentType="application/vnd.openxmlformats-officedocument.drawingml.chart+xml"/>
  <Override PartName="/xl/tables/table1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7E998C4-C9E5-D4B9-71C8-EB1FF731991C}"/>
  <workbookPr codeName="ThisWorkbook" defaultThemeVersion="124226"/>
  <bookViews>
    <workbookView xWindow="360" yWindow="75" windowWidth="15480" windowHeight="8520" tabRatio="783" activeTab="4"/>
  </bookViews>
  <sheets>
    <sheet name="General" sheetId="1" r:id="rId1"/>
    <sheet name="Resumen" sheetId="2" r:id="rId2"/>
    <sheet name="CuadrosResumen" sheetId="7" r:id="rId3"/>
    <sheet name="Iteracion" sheetId="3" r:id="rId4"/>
    <sheet name="Observaciones" sheetId="4" r:id="rId5"/>
    <sheet name="Consultas" sheetId="5" r:id="rId6"/>
    <sheet name="HistoricoAvance" sheetId="6" r:id="rId7"/>
  </sheets>
  <externalReferences>
    <externalReference r:id="rId8"/>
  </externalReferences>
  <calcPr calcId="125725"/>
  <pivotCaches>
    <pivotCache cacheId="0" r:id="rId9"/>
    <pivotCache cacheId="1" r:id="rId10"/>
    <pivotCache cacheId="2" r:id="rId11"/>
    <pivotCache cacheId="3" r:id="rId12"/>
    <pivotCache cacheId="4" r:id="rId13"/>
    <pivotCache cacheId="5" r:id="rId14"/>
  </pivotCaches>
</workbook>
</file>

<file path=xl/calcChain.xml><?xml version="1.0" encoding="utf-8"?>
<calcChain xmlns="http://schemas.openxmlformats.org/spreadsheetml/2006/main">
  <c r="L23" i="3"/>
  <c r="Q23"/>
  <c r="L22"/>
  <c r="Q22"/>
  <c r="L21"/>
  <c r="Q21"/>
  <c r="L20"/>
  <c r="Q20"/>
  <c r="L19"/>
  <c r="Q19"/>
  <c r="L18"/>
  <c r="Q18"/>
  <c r="L17"/>
  <c r="Q17"/>
  <c r="K21" i="4"/>
  <c r="L21"/>
  <c r="K20"/>
  <c r="L20"/>
  <c r="K19"/>
  <c r="L19"/>
  <c r="K18"/>
  <c r="L18"/>
  <c r="K17"/>
  <c r="L17"/>
  <c r="K16"/>
  <c r="L16"/>
  <c r="K15"/>
  <c r="L15"/>
  <c r="L16" i="3"/>
  <c r="Q16"/>
  <c r="K14" i="4"/>
  <c r="C3"/>
  <c r="C4"/>
  <c r="C5"/>
  <c r="C6"/>
  <c r="C7"/>
  <c r="C8"/>
  <c r="C9"/>
  <c r="C10"/>
  <c r="K30" i="2" s="1"/>
  <c r="C11" i="4"/>
  <c r="C12"/>
  <c r="C13"/>
  <c r="K3"/>
  <c r="K4"/>
  <c r="K5"/>
  <c r="K6"/>
  <c r="K7"/>
  <c r="K8"/>
  <c r="K9"/>
  <c r="K10"/>
  <c r="K11"/>
  <c r="K12"/>
  <c r="K13"/>
  <c r="L3"/>
  <c r="L4"/>
  <c r="L5"/>
  <c r="L6"/>
  <c r="L7"/>
  <c r="L8"/>
  <c r="L9"/>
  <c r="L10"/>
  <c r="L11"/>
  <c r="L12"/>
  <c r="L13"/>
  <c r="C30" i="2"/>
  <c r="E30"/>
  <c r="I30"/>
  <c r="C31"/>
  <c r="E31"/>
  <c r="C32"/>
  <c r="E32"/>
  <c r="C33"/>
  <c r="E33"/>
  <c r="J30" l="1"/>
  <c r="K33"/>
  <c r="I33"/>
  <c r="J33"/>
  <c r="E34"/>
  <c r="C34"/>
  <c r="J32" l="1"/>
  <c r="I32"/>
  <c r="K32"/>
  <c r="I13" l="1"/>
  <c r="K13"/>
  <c r="I31" l="1"/>
  <c r="I34" s="1"/>
  <c r="K31"/>
  <c r="K34" s="1"/>
  <c r="J31"/>
  <c r="J34" s="1"/>
  <c r="K20"/>
  <c r="K19"/>
  <c r="K18"/>
  <c r="I20"/>
  <c r="I19"/>
  <c r="I18"/>
  <c r="G20"/>
  <c r="G19"/>
  <c r="G18"/>
  <c r="M20"/>
  <c r="M19"/>
  <c r="M18"/>
  <c r="E20"/>
  <c r="E19"/>
  <c r="E18"/>
  <c r="C20"/>
  <c r="C19"/>
  <c r="C18"/>
  <c r="J13"/>
  <c r="G13"/>
  <c r="F13"/>
  <c r="E13"/>
  <c r="C14"/>
  <c r="C13"/>
  <c r="G89" i="7"/>
  <c r="C10" i="2"/>
  <c r="D30" l="1"/>
  <c r="D31"/>
  <c r="F33"/>
  <c r="F32"/>
  <c r="D32"/>
  <c r="F30"/>
  <c r="D33"/>
  <c r="F31"/>
  <c r="D6"/>
  <c r="D18"/>
  <c r="K14"/>
  <c r="G68" i="7"/>
  <c r="C21" i="2"/>
  <c r="F20"/>
  <c r="J19"/>
  <c r="L20"/>
  <c r="F19"/>
  <c r="N20"/>
  <c r="L19"/>
  <c r="F18"/>
  <c r="N19"/>
  <c r="H20"/>
  <c r="L18"/>
  <c r="N18"/>
  <c r="H19"/>
  <c r="J20"/>
  <c r="I21"/>
  <c r="G21"/>
  <c r="M21"/>
  <c r="K21"/>
  <c r="J18"/>
  <c r="H18"/>
  <c r="E21"/>
  <c r="D19"/>
  <c r="D20"/>
  <c r="F14"/>
  <c r="J14"/>
  <c r="E14"/>
  <c r="I14"/>
  <c r="H14"/>
  <c r="G14"/>
  <c r="F34" l="1"/>
  <c r="D34"/>
  <c r="D4"/>
  <c r="L21"/>
  <c r="G4"/>
  <c r="J21"/>
  <c r="F21"/>
  <c r="N21"/>
  <c r="H21"/>
  <c r="D21"/>
</calcChain>
</file>

<file path=xl/sharedStrings.xml><?xml version="1.0" encoding="utf-8"?>
<sst xmlns="http://schemas.openxmlformats.org/spreadsheetml/2006/main" count="564" uniqueCount="261">
  <si>
    <t>CASOS DE PRUEBA</t>
  </si>
  <si>
    <t>DATOS GENERALES</t>
  </si>
  <si>
    <t>Tipo de Solicitud</t>
  </si>
  <si>
    <t>Descripción</t>
  </si>
  <si>
    <t>Proveedor Desarrollo</t>
  </si>
  <si>
    <t>Pruebas de Sistemas</t>
  </si>
  <si>
    <t>Pruebas Post Producción</t>
  </si>
  <si>
    <t>Fecha Inicio</t>
  </si>
  <si>
    <t>Fecha Fin</t>
  </si>
  <si>
    <t>Código:</t>
  </si>
  <si>
    <t>Título:</t>
  </si>
  <si>
    <t>Avance Real:</t>
  </si>
  <si>
    <t>Resultado:</t>
  </si>
  <si>
    <t>Ejecutado:</t>
  </si>
  <si>
    <t>1. Casos de Prueba</t>
  </si>
  <si>
    <t>CP Totales</t>
  </si>
  <si>
    <t>CP Ejecutados</t>
  </si>
  <si>
    <t>CP Bloqueado</t>
  </si>
  <si>
    <t>CP Pendiente</t>
  </si>
  <si>
    <t>Acierto</t>
  </si>
  <si>
    <t>Fallo</t>
  </si>
  <si>
    <t>Bloqueado</t>
  </si>
  <si>
    <t>Pendiente</t>
  </si>
  <si>
    <t>No Aplica</t>
  </si>
  <si>
    <t>En Proceso</t>
  </si>
  <si>
    <t>Casos de Prueba</t>
  </si>
  <si>
    <t>Nº</t>
  </si>
  <si>
    <t>%</t>
  </si>
  <si>
    <t>Alta</t>
  </si>
  <si>
    <t>Media</t>
  </si>
  <si>
    <t>Baja</t>
  </si>
  <si>
    <t>TOTAL</t>
  </si>
  <si>
    <t>Severidad (SI)</t>
  </si>
  <si>
    <t>Severidad 1</t>
  </si>
  <si>
    <t>Bloqueante para el sistema</t>
  </si>
  <si>
    <t>Severidad 2</t>
  </si>
  <si>
    <t>Bloqueante para el negocio, flujo crítico interrumpido</t>
  </si>
  <si>
    <t>Severidad 3</t>
  </si>
  <si>
    <t>No bloqueante, flujo alterno interrumpido</t>
  </si>
  <si>
    <t>Severidad 4</t>
  </si>
  <si>
    <t>De carácter estético</t>
  </si>
  <si>
    <t>Prioridad (P)</t>
  </si>
  <si>
    <t>Abrev.</t>
  </si>
  <si>
    <t>A</t>
  </si>
  <si>
    <t>M</t>
  </si>
  <si>
    <t>B</t>
  </si>
  <si>
    <t>Estado (EI)</t>
  </si>
  <si>
    <t>Abierta</t>
  </si>
  <si>
    <t>Corregida</t>
  </si>
  <si>
    <t>Cerrada</t>
  </si>
  <si>
    <t>Incidencia respondida por el AM cuya verificación está en proceso</t>
  </si>
  <si>
    <t xml:space="preserve">Incidencia reportada al AM </t>
  </si>
  <si>
    <t>Incidencia verificada y levantada</t>
  </si>
  <si>
    <t>Estado Testing (ET)</t>
  </si>
  <si>
    <t>Descripión</t>
  </si>
  <si>
    <t>El resultado real es igual a resultado esperado</t>
  </si>
  <si>
    <t>No se cumple el caso esperado</t>
  </si>
  <si>
    <t>No se puede probar el CP, por dependecias de otro CP en Fallo o falta de prerequisitos o desarrollo</t>
  </si>
  <si>
    <t>El CP esta fuera de alcance de las pruebas de esta iteración</t>
  </si>
  <si>
    <t>Resultado</t>
  </si>
  <si>
    <t>SATISFACTORIO</t>
  </si>
  <si>
    <t>Las pruebas pasaron sin problemas</t>
  </si>
  <si>
    <t>SATISFACTORIO con Observaciones</t>
  </si>
  <si>
    <t>Durante las pruebas se realizaron observaciones menores.</t>
  </si>
  <si>
    <t>INSATISFACTORIO</t>
  </si>
  <si>
    <t>Se encontraron Incidencias de Severidad 1 o Severidad 2.</t>
  </si>
  <si>
    <t>CP cuya ejecución está en pendiente</t>
  </si>
  <si>
    <t>El CP cuya ejecución aún no se ha terminado.</t>
  </si>
  <si>
    <t>2. Incidencias</t>
  </si>
  <si>
    <t>Severidad (S)</t>
  </si>
  <si>
    <t>Incidencias Abiertas</t>
  </si>
  <si>
    <t>Incidencias Cerradas</t>
  </si>
  <si>
    <t>TOTALES</t>
  </si>
  <si>
    <t>Funcionalidad</t>
  </si>
  <si>
    <t>Descripción Caso de Prueba</t>
  </si>
  <si>
    <t>Resultado Esperado</t>
  </si>
  <si>
    <t>Resultado Real</t>
  </si>
  <si>
    <t>Estado Testing</t>
  </si>
  <si>
    <t>Prioridad</t>
  </si>
  <si>
    <t>Severidad</t>
  </si>
  <si>
    <t>Estado Incidencia</t>
  </si>
  <si>
    <t>Reejecución</t>
  </si>
  <si>
    <t>Fecha Planificada</t>
  </si>
  <si>
    <t>Fecha Real</t>
  </si>
  <si>
    <t>Duración Caso de Prueba (horas / hombre)</t>
  </si>
  <si>
    <t>Pre-requisitos para la ejecución de la prueba</t>
  </si>
  <si>
    <t>Observaciones Pruebas Testing</t>
  </si>
  <si>
    <t>Revisión</t>
  </si>
  <si>
    <t>CP001</t>
  </si>
  <si>
    <t>Cod. Obs.</t>
  </si>
  <si>
    <t>Caso de Prueba</t>
  </si>
  <si>
    <t>Estado</t>
  </si>
  <si>
    <t>Fecha Detección</t>
  </si>
  <si>
    <t>Fecha Levantamiento</t>
  </si>
  <si>
    <t>Solución</t>
  </si>
  <si>
    <t>Tiempo de Solución</t>
  </si>
  <si>
    <t>MATRIZ DE OBSERVACIONES</t>
  </si>
  <si>
    <t>Cod. Cons.</t>
  </si>
  <si>
    <t>Fecha Solicitud</t>
  </si>
  <si>
    <t>Fecha Respuesta</t>
  </si>
  <si>
    <t>Descripción de la Consulta</t>
  </si>
  <si>
    <t>Respuesta del Responsable</t>
  </si>
  <si>
    <t>MATRIZ DE CONSULTAS</t>
  </si>
  <si>
    <t>Tiempo de Solución (Dias)</t>
  </si>
  <si>
    <t>Aciertos</t>
  </si>
  <si>
    <t>Fallos</t>
  </si>
  <si>
    <t>Reejecuciones</t>
  </si>
  <si>
    <t>Abiertas</t>
  </si>
  <si>
    <t>Cerradas</t>
  </si>
  <si>
    <t>Totales</t>
  </si>
  <si>
    <t>HISTÓRICO DE EJECUCIÓN</t>
  </si>
  <si>
    <t>HISTÓRICO DE INCIDENCIAS</t>
  </si>
  <si>
    <t>Fecha</t>
  </si>
  <si>
    <t>CP con Fallo</t>
  </si>
  <si>
    <t>1. RESÚMEN DE ESTADOS DE CASOS DE PRUEBA</t>
  </si>
  <si>
    <t>2. HISTÓRICO DE EJECUCIONES DE CASOS DE PRUEBA</t>
  </si>
  <si>
    <t>3. HISTÓRICO DE INCIDENCIAS</t>
  </si>
  <si>
    <t>4. RESÚMEN DE OBSERVACIONES</t>
  </si>
  <si>
    <t>TIEMPO MEDIO DE RESOLUCIÓN Y CIERRE DE INCIDENCIAS</t>
  </si>
  <si>
    <t>DIAS</t>
  </si>
  <si>
    <t>Rótulos de fila</t>
  </si>
  <si>
    <t>Total general</t>
  </si>
  <si>
    <t>Cuenta de Severidad</t>
  </si>
  <si>
    <t>Cuenta de Prioridad</t>
  </si>
  <si>
    <t>Cuenta de Estado</t>
  </si>
  <si>
    <t>5. RESÚMEN DE CONSULTAS</t>
  </si>
  <si>
    <t>TIEMPO MEDIO DE RESOLUCIÓN Y CIERRE DE CONSULTAS</t>
  </si>
  <si>
    <t>Responsable</t>
  </si>
  <si>
    <t>Cuenta de Responsable</t>
  </si>
  <si>
    <t>Re Ejecuciones</t>
  </si>
  <si>
    <t>AM</t>
  </si>
  <si>
    <t>No AM</t>
  </si>
  <si>
    <t>Código CP</t>
  </si>
  <si>
    <t>Código de REQ</t>
  </si>
  <si>
    <t>Pruebas Funcionales</t>
  </si>
  <si>
    <t>Pruebas de Performance</t>
  </si>
  <si>
    <t>Pruebas de Seguridad</t>
  </si>
  <si>
    <t>Inspección</t>
  </si>
  <si>
    <t>Solicitud Código Proyecto</t>
  </si>
  <si>
    <t>Nombre de la Solicitud</t>
  </si>
  <si>
    <t>Gerente Proyectos Cliente</t>
  </si>
  <si>
    <t>Cod. Req.</t>
  </si>
  <si>
    <t>(en blanco)</t>
  </si>
  <si>
    <t>#N/A</t>
  </si>
  <si>
    <t>IT Expert</t>
  </si>
  <si>
    <t>Cliente</t>
  </si>
  <si>
    <t>Empresa QA</t>
  </si>
  <si>
    <t>Responsable Cliente</t>
  </si>
  <si>
    <t>Responsable QA</t>
  </si>
  <si>
    <t>Oscar Castillo</t>
  </si>
  <si>
    <t>CP002</t>
  </si>
  <si>
    <t>CP003</t>
  </si>
  <si>
    <t>CP004</t>
  </si>
  <si>
    <t>CP005</t>
  </si>
  <si>
    <t>CP009</t>
  </si>
  <si>
    <t>VALIDACIÓN OK</t>
  </si>
  <si>
    <t>-</t>
  </si>
  <si>
    <t xml:space="preserve">Inspección </t>
  </si>
  <si>
    <t>Inompleto</t>
  </si>
  <si>
    <t>incompleto</t>
  </si>
  <si>
    <t>OBS001</t>
  </si>
  <si>
    <t>El proveedor en su proceso  de entrega de producto hace la entrega de la factura, la cual no es recibida como una entrada en la actividad consolidar documentos.</t>
  </si>
  <si>
    <t>OBS002</t>
  </si>
  <si>
    <t>En el componente número 3 se mencionan dos salidas, ¿En cualquier caso habrán estas dos salidas, asi solo se quiera la compra de productos internos o solo la adquisición de maquinarias, equipos y bienes?</t>
  </si>
  <si>
    <t>OBS003</t>
  </si>
  <si>
    <t>En el componente número 4 del diagrama en la parte de descripción se debe especificar que sucederá en cada caso, descripción incompleta.</t>
  </si>
  <si>
    <t>OBS004</t>
  </si>
  <si>
    <t>En la declaración no se han considerado las descripción de los procesos ajenos, como lo son: Gestión de Contactos,  Entrega de productos, Facturación, Liquidación y Logística comercial.</t>
  </si>
  <si>
    <t>OBS005</t>
  </si>
  <si>
    <t>En el proceso de Facturación no se especifica que documento se enviará.</t>
  </si>
  <si>
    <t>OBS006</t>
  </si>
  <si>
    <t>CP006</t>
  </si>
  <si>
    <t>En el componente número 7 hay dos casos posibles, uno en que que se haya necesitado una compra para el abastecimiento y el otro para el que no, de este modo  no en todos los casos ocurre la consolidación de la orden de compra y la guía de remisión. Se debería diferenciar.</t>
  </si>
  <si>
    <t>OBS007</t>
  </si>
  <si>
    <t>CP007</t>
  </si>
  <si>
    <t>El proceso de logistica interna está en el aire no hay punto de unión con el diagrama, no se sabe cuando se inicializa y además debería guardar relación. ¿Cómo se pasa del punto 8 al 9?</t>
  </si>
  <si>
    <t>OBS008</t>
  </si>
  <si>
    <t>CP008</t>
  </si>
  <si>
    <t xml:space="preserve">En el componente número 10 el gateway utilizado solo es para una decisión y se realiza una de las dos salidas , no ambas. </t>
  </si>
  <si>
    <t>OBS009</t>
  </si>
  <si>
    <t xml:space="preserve">En el componente número 10 cuando se entrega el orden de entrega  o reporte de salidas a otra Área se indica de una manera distinta por medio de el icono indicado. </t>
  </si>
  <si>
    <t>OBS010</t>
  </si>
  <si>
    <t>CP010</t>
  </si>
  <si>
    <t>En general se debe uniformizar la manera en que se transmiten los documentos.</t>
  </si>
  <si>
    <t>OBS011</t>
  </si>
  <si>
    <t>CP011</t>
  </si>
  <si>
    <t>En la sección de entradas y salidas del proceso no se han considerado algunas de ellas como lo es la factura, etc.</t>
  </si>
  <si>
    <t>Daniella Valdez Peñaflor</t>
  </si>
  <si>
    <t>Inspección de iteración 1</t>
  </si>
  <si>
    <t>Inspección de iteración 2</t>
  </si>
  <si>
    <t>Inspección de iteración 3</t>
  </si>
  <si>
    <t>Inspección de iteración 4</t>
  </si>
  <si>
    <t>Inspección de iteración 5</t>
  </si>
  <si>
    <t>Inspección de iteración 6</t>
  </si>
  <si>
    <t>Inspección de iteración 7</t>
  </si>
  <si>
    <t>Inspección de iteración 8</t>
  </si>
  <si>
    <t>Inspección de iteración 9</t>
  </si>
  <si>
    <t>Inspección de iteración 10</t>
  </si>
  <si>
    <t>Inspección de iteración 11</t>
  </si>
  <si>
    <t>Diagrama de Procesos</t>
  </si>
  <si>
    <t>Declaración de Procesos</t>
  </si>
  <si>
    <t>Sección de entradas y salidas.</t>
  </si>
  <si>
    <t>Análisis y Diseño de la Arquitectura de Procesos para la Pequeña Minería : Proceso de Logística</t>
  </si>
  <si>
    <t>PM06</t>
  </si>
  <si>
    <t>Sandra Tovar</t>
  </si>
  <si>
    <t>Kaya Marina</t>
  </si>
  <si>
    <t>Daniella Valdez</t>
  </si>
  <si>
    <t>OBS012</t>
  </si>
  <si>
    <t>CP012</t>
  </si>
  <si>
    <t>En la parte de propósito se debe colocar y describir el proceso y el inicio y el fin del mismo no en otra sección.</t>
  </si>
  <si>
    <t>Inspeccion</t>
  </si>
  <si>
    <t>Inspección de iteración 12</t>
  </si>
  <si>
    <t>Propósito</t>
  </si>
  <si>
    <t>baja</t>
  </si>
  <si>
    <t>Se elimino la actividad eliminar documentos.</t>
  </si>
  <si>
    <t>Se modificaron las salidas</t>
  </si>
  <si>
    <t>CP013</t>
  </si>
  <si>
    <t>En el componente número 4 del diagrama en la parte de descripción se debe especificar que sucederá en cada caso, descripción incompleta.// En la actividad "Definir tipo de Adquisición" existen dos salidas, se debe especificar cual es su flujo ¿Qué ocurre en cada caso? Y si se envia la solicitud de pedido debe mostrarse el documento.</t>
  </si>
  <si>
    <t>Se cambio el proceso por Cuentas por Pagar.</t>
  </si>
  <si>
    <t>Se elimino la actividad Consolidar documentos.</t>
  </si>
  <si>
    <t>El proceso de logística interna está en el aire no hay punto de unión con el diagrama, no se sabe cuando se inicializa y además debería guardar relación. ¿Cómo se pasa del punto 8 al 9?</t>
  </si>
  <si>
    <t>Se elimino el proceso de logística.</t>
  </si>
  <si>
    <t>Se elimino la actividad "Tipo de documento"</t>
  </si>
  <si>
    <t>Se aclaro el tema en reunión.</t>
  </si>
  <si>
    <t>Corregido.</t>
  </si>
  <si>
    <t>Se han descrito.</t>
  </si>
  <si>
    <t>En la actividad verificar stock se debe especificar que sucede en cada caso.</t>
  </si>
  <si>
    <t>En la actividad producción se debe especificar en que momento y circunstancias se hace la entreda de la orden de entrega de productos finales.</t>
  </si>
  <si>
    <t>En la actividad "Programa de entrega" si hay una entrada que es la orden de entrega, ¿Quién se la envia?</t>
  </si>
  <si>
    <t>En la actividad "Abastecimiento de productos internos y finales" se menciona que sale el reporte de salidas y en otra actividad se menciona que sale el reporte de  entradas. Existe contradicción.</t>
  </si>
  <si>
    <t>OBS013</t>
  </si>
  <si>
    <t>OBS014</t>
  </si>
  <si>
    <t>OBS015</t>
  </si>
  <si>
    <t>OBS016</t>
  </si>
  <si>
    <t>OBS017</t>
  </si>
  <si>
    <t>OBS018</t>
  </si>
  <si>
    <t>OBS019</t>
  </si>
  <si>
    <t>CP014</t>
  </si>
  <si>
    <t>CP015</t>
  </si>
  <si>
    <t>CP016</t>
  </si>
  <si>
    <t>CP017</t>
  </si>
  <si>
    <t>CP018</t>
  </si>
  <si>
    <t>CP019</t>
  </si>
  <si>
    <t>En la actividad "Gestión de contratos de bienes, maquinarias y equipos". ¿En qué consta la administración de contratos?¿Cuáles son los pasos?, esecificar.</t>
  </si>
  <si>
    <t xml:space="preserve">En la actividad "Gestión de Contratos" se termina el proceso sin embargo, no se considera la recepción de maquinarias o registro de las mismas. </t>
  </si>
  <si>
    <t>En la actividad "Recepción de productos internos y finales" no se especifica la salida de la factura hacia cuenta por pagar.</t>
  </si>
  <si>
    <t>Inspección de iteración 13</t>
  </si>
  <si>
    <t>Inspección de iteración 14</t>
  </si>
  <si>
    <t>Inspección de iteración 15</t>
  </si>
  <si>
    <t>Inspección de iteración 16</t>
  </si>
  <si>
    <t>Inspección de iteración 17</t>
  </si>
  <si>
    <t>Inspección de iteración 18</t>
  </si>
  <si>
    <t>Inspección de iteración 19</t>
  </si>
  <si>
    <t>Completo</t>
  </si>
  <si>
    <t>A que actividad se hace referencia?</t>
  </si>
  <si>
    <t>Se retiro el documento y la actividad</t>
  </si>
  <si>
    <t>Se realizó la salida</t>
  </si>
  <si>
    <t>Se retiro la actividad</t>
  </si>
  <si>
    <t>Se añadió a la definicion y diagrama</t>
  </si>
  <si>
    <t xml:space="preserve">Se añadió a la definición </t>
  </si>
  <si>
    <t>Se añadió la entrada de factura</t>
  </si>
</sst>
</file>

<file path=xl/styles.xml><?xml version="1.0" encoding="utf-8"?>
<styleSheet xmlns="http://schemas.openxmlformats.org/spreadsheetml/2006/main">
  <numFmts count="1">
    <numFmt numFmtId="164" formatCode="dd/mm/yyyy;@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FFFFFF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9"/>
      <name val="Andale Mono"/>
    </font>
    <font>
      <b/>
      <sz val="10"/>
      <name val="Arial"/>
      <family val="2"/>
    </font>
    <font>
      <i/>
      <sz val="9"/>
      <name val="Andale Mono"/>
    </font>
    <font>
      <sz val="9"/>
      <name val="Andale Mono"/>
    </font>
    <font>
      <sz val="10"/>
      <color theme="1"/>
      <name val="Tahoma"/>
      <family val="2"/>
    </font>
    <font>
      <b/>
      <sz val="11"/>
      <color rgb="FFFFFFFF"/>
      <name val="Arial"/>
      <family val="2"/>
    </font>
    <font>
      <b/>
      <sz val="11"/>
      <color indexed="61"/>
      <name val="Calibri"/>
      <family val="2"/>
    </font>
    <font>
      <b/>
      <sz val="14"/>
      <color indexed="8"/>
      <name val="Calibri"/>
      <family val="2"/>
    </font>
    <font>
      <b/>
      <sz val="18"/>
      <color indexed="8"/>
      <name val="Calibri"/>
      <family val="2"/>
    </font>
    <font>
      <b/>
      <sz val="9"/>
      <color indexed="9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indexed="9"/>
      <name val="Calibri"/>
      <family val="2"/>
    </font>
    <font>
      <b/>
      <sz val="11"/>
      <color indexed="10"/>
      <name val="Calibri"/>
      <family val="2"/>
    </font>
    <font>
      <sz val="11"/>
      <color theme="0"/>
      <name val="Calibri"/>
      <family val="2"/>
    </font>
    <font>
      <b/>
      <sz val="11"/>
      <color indexed="51"/>
      <name val="Calibri"/>
      <family val="2"/>
    </font>
    <font>
      <b/>
      <sz val="11"/>
      <color indexed="58"/>
      <name val="Calibri"/>
      <family val="2"/>
    </font>
    <font>
      <b/>
      <sz val="11"/>
      <color theme="6"/>
      <name val="Calibri"/>
      <family val="2"/>
    </font>
    <font>
      <b/>
      <sz val="11"/>
      <color theme="4"/>
      <name val="Calibri"/>
      <family val="2"/>
    </font>
    <font>
      <b/>
      <sz val="11"/>
      <color indexed="28"/>
      <name val="Calibri"/>
      <family val="2"/>
    </font>
    <font>
      <sz val="10"/>
      <name val="TheSansCorrespondence"/>
      <family val="2"/>
    </font>
    <font>
      <b/>
      <sz val="10"/>
      <color theme="0"/>
      <name val="Arial"/>
      <family val="2"/>
    </font>
    <font>
      <b/>
      <sz val="24"/>
      <color theme="9"/>
      <name val="Calibri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6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indexed="9"/>
      <name val="Calibri"/>
      <family val="2"/>
    </font>
    <font>
      <b/>
      <sz val="9"/>
      <color indexed="10"/>
      <name val="Calibri"/>
      <family val="2"/>
    </font>
    <font>
      <b/>
      <sz val="9"/>
      <color indexed="8"/>
      <name val="Calibri"/>
      <family val="2"/>
    </font>
    <font>
      <b/>
      <sz val="9"/>
      <color indexed="9"/>
      <name val="Arial Narrow"/>
      <family val="2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8"/>
      <color theme="0"/>
      <name val="Calibri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11"/>
      <color theme="0"/>
      <name val="Calibri"/>
      <family val="2"/>
    </font>
    <font>
      <b/>
      <sz val="11"/>
      <color theme="3" tint="-0.499984740745262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4"/>
      <color theme="3" tint="-0.499984740745262"/>
      <name val="Calibri"/>
      <family val="2"/>
    </font>
    <font>
      <sz val="1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20"/>
        <bgColor indexed="36"/>
      </patternFill>
    </fill>
    <fill>
      <patternFill patternType="solid">
        <fgColor indexed="50"/>
        <bgColor indexed="55"/>
      </patternFill>
    </fill>
    <fill>
      <patternFill patternType="solid">
        <fgColor rgb="FFC00000"/>
        <bgColor indexed="25"/>
      </patternFill>
    </fill>
    <fill>
      <patternFill patternType="solid">
        <fgColor indexed="51"/>
        <bgColor indexed="5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41"/>
      </patternFill>
    </fill>
    <fill>
      <patternFill patternType="solid">
        <fgColor theme="9" tint="0.39997558519241921"/>
        <bgColor indexed="24"/>
      </patternFill>
    </fill>
    <fill>
      <patternFill patternType="solid">
        <fgColor theme="4" tint="0.79998168889431442"/>
        <bgColor indexed="4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25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36"/>
      </patternFill>
    </fill>
    <fill>
      <patternFill patternType="solid">
        <fgColor theme="3" tint="-0.499984740745262"/>
        <bgColor indexed="36"/>
      </patternFill>
    </fill>
    <fill>
      <patternFill patternType="solid">
        <fgColor theme="3" tint="-0.499984740745262"/>
        <bgColor indexed="27"/>
      </patternFill>
    </fill>
    <fill>
      <patternFill patternType="solid">
        <fgColor theme="3" tint="-0.499984740745262"/>
        <bgColor indexed="52"/>
      </patternFill>
    </fill>
    <fill>
      <patternFill patternType="solid">
        <fgColor theme="3" tint="0.59999389629810485"/>
        <bgColor indexed="41"/>
      </patternFill>
    </fill>
    <fill>
      <patternFill patternType="solid">
        <fgColor theme="3" tint="-0.499984740745262"/>
        <bgColor indexed="25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3" tint="-0.499984740745262"/>
        <bgColor theme="9"/>
      </patternFill>
    </fill>
    <fill>
      <patternFill patternType="solid">
        <fgColor theme="3" tint="-0.499984740745262"/>
        <bgColor indexed="5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 style="medium">
        <color rgb="FF808080"/>
      </left>
      <right/>
      <top style="medium">
        <color rgb="FF808080"/>
      </top>
      <bottom style="medium">
        <color rgb="FF80808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 style="medium">
        <color indexed="54"/>
      </left>
      <right/>
      <top style="medium">
        <color indexed="54"/>
      </top>
      <bottom style="medium">
        <color indexed="54"/>
      </bottom>
      <diagonal/>
    </border>
    <border>
      <left/>
      <right style="medium">
        <color indexed="54"/>
      </right>
      <top style="medium">
        <color indexed="54"/>
      </top>
      <bottom style="medium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9"/>
      </right>
      <top/>
      <bottom style="thin">
        <color theme="5"/>
      </bottom>
      <diagonal/>
    </border>
    <border>
      <left style="thin">
        <color indexed="9"/>
      </left>
      <right style="thin">
        <color indexed="9"/>
      </right>
      <top/>
      <bottom style="thin">
        <color theme="5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/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 style="thin">
        <color indexed="22"/>
      </right>
      <top/>
      <bottom style="medium">
        <color indexed="22"/>
      </bottom>
      <diagonal/>
    </border>
    <border>
      <left style="thin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 style="thin">
        <color indexed="22"/>
      </right>
      <top/>
      <bottom style="medium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17" fillId="8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218">
    <xf numFmtId="0" fontId="0" fillId="0" borderId="0" xfId="0"/>
    <xf numFmtId="0" fontId="5" fillId="0" borderId="3" xfId="2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9" fillId="0" borderId="3" xfId="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21" fillId="2" borderId="6" xfId="0" applyFont="1" applyFill="1" applyBorder="1" applyAlignment="1">
      <alignment horizontal="center" vertical="top"/>
    </xf>
    <xf numFmtId="0" fontId="21" fillId="2" borderId="7" xfId="0" applyFont="1" applyFill="1" applyBorder="1" applyAlignment="1">
      <alignment horizontal="center" vertical="top"/>
    </xf>
    <xf numFmtId="0" fontId="17" fillId="0" borderId="9" xfId="0" applyFont="1" applyBorder="1" applyAlignment="1">
      <alignment vertical="top" wrapText="1"/>
    </xf>
    <xf numFmtId="0" fontId="0" fillId="0" borderId="4" xfId="0" applyBorder="1" applyAlignment="1">
      <alignment vertical="center"/>
    </xf>
    <xf numFmtId="0" fontId="21" fillId="2" borderId="6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17" fillId="0" borderId="7" xfId="0" applyFont="1" applyBorder="1" applyAlignment="1">
      <alignment vertical="center" wrapText="1"/>
    </xf>
    <xf numFmtId="9" fontId="17" fillId="0" borderId="3" xfId="1" applyFont="1" applyFill="1" applyBorder="1" applyAlignment="1" applyProtection="1">
      <alignment vertical="center"/>
    </xf>
    <xf numFmtId="0" fontId="17" fillId="0" borderId="9" xfId="0" applyFont="1" applyBorder="1" applyAlignment="1">
      <alignment vertical="center" wrapText="1"/>
    </xf>
    <xf numFmtId="0" fontId="22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left" vertical="top" wrapText="1"/>
    </xf>
    <xf numFmtId="0" fontId="28" fillId="0" borderId="8" xfId="0" applyFont="1" applyBorder="1" applyAlignment="1">
      <alignment horizontal="center" vertical="top" wrapText="1"/>
    </xf>
    <xf numFmtId="0" fontId="17" fillId="0" borderId="7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center" vertical="top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31" fillId="0" borderId="0" xfId="0" applyFont="1" applyAlignment="1"/>
    <xf numFmtId="14" fontId="0" fillId="0" borderId="24" xfId="0" applyNumberFormat="1" applyBorder="1" applyProtection="1">
      <protection locked="0"/>
    </xf>
    <xf numFmtId="0" fontId="0" fillId="0" borderId="25" xfId="0" applyNumberFormat="1" applyBorder="1"/>
    <xf numFmtId="1" fontId="0" fillId="0" borderId="26" xfId="0" applyNumberFormat="1" applyBorder="1" applyProtection="1">
      <protection locked="0"/>
    </xf>
    <xf numFmtId="1" fontId="0" fillId="0" borderId="27" xfId="0" applyNumberFormat="1" applyBorder="1" applyProtection="1">
      <protection locked="0"/>
    </xf>
    <xf numFmtId="0" fontId="0" fillId="0" borderId="25" xfId="0" applyNumberFormat="1" applyBorder="1" applyProtection="1">
      <protection locked="0"/>
    </xf>
    <xf numFmtId="0" fontId="0" fillId="0" borderId="28" xfId="0" applyNumberFormat="1" applyBorder="1" applyProtection="1">
      <protection locked="0"/>
    </xf>
    <xf numFmtId="0" fontId="19" fillId="0" borderId="3" xfId="0" applyFont="1" applyBorder="1" applyAlignment="1">
      <alignment vertical="center" wrapText="1"/>
    </xf>
    <xf numFmtId="0" fontId="20" fillId="13" borderId="3" xfId="0" applyFont="1" applyFill="1" applyBorder="1" applyAlignment="1">
      <alignment vertical="center" wrapText="1"/>
    </xf>
    <xf numFmtId="9" fontId="20" fillId="14" borderId="3" xfId="1" applyFont="1" applyFill="1" applyBorder="1" applyAlignment="1" applyProtection="1">
      <alignment vertical="center" wrapText="1"/>
    </xf>
    <xf numFmtId="0" fontId="20" fillId="15" borderId="3" xfId="0" applyFont="1" applyFill="1" applyBorder="1" applyAlignment="1">
      <alignment vertical="center" wrapText="1"/>
    </xf>
    <xf numFmtId="9" fontId="20" fillId="16" borderId="3" xfId="1" applyFont="1" applyFill="1" applyBorder="1" applyAlignment="1" applyProtection="1">
      <alignment vertical="center" wrapText="1"/>
    </xf>
    <xf numFmtId="0" fontId="20" fillId="17" borderId="3" xfId="0" applyFont="1" applyFill="1" applyBorder="1" applyAlignment="1">
      <alignment vertical="center" wrapText="1"/>
    </xf>
    <xf numFmtId="9" fontId="20" fillId="18" borderId="3" xfId="1" applyFont="1" applyFill="1" applyBorder="1" applyAlignment="1" applyProtection="1">
      <alignment vertical="center" wrapText="1"/>
    </xf>
    <xf numFmtId="0" fontId="20" fillId="7" borderId="3" xfId="0" applyFont="1" applyFill="1" applyBorder="1" applyAlignment="1">
      <alignment vertical="center" wrapText="1"/>
    </xf>
    <xf numFmtId="9" fontId="20" fillId="19" borderId="3" xfId="1" applyFont="1" applyFill="1" applyBorder="1" applyAlignment="1" applyProtection="1">
      <alignment vertical="center" wrapText="1"/>
    </xf>
    <xf numFmtId="0" fontId="20" fillId="20" borderId="3" xfId="0" applyFont="1" applyFill="1" applyBorder="1" applyAlignment="1">
      <alignment vertical="center" wrapText="1"/>
    </xf>
    <xf numFmtId="9" fontId="20" fillId="21" borderId="3" xfId="1" applyFont="1" applyFill="1" applyBorder="1" applyAlignment="1" applyProtection="1">
      <alignment vertical="center" wrapText="1"/>
    </xf>
    <xf numFmtId="9" fontId="20" fillId="7" borderId="3" xfId="1" applyFont="1" applyFill="1" applyBorder="1" applyAlignment="1" applyProtection="1">
      <alignment vertical="center" wrapText="1"/>
    </xf>
    <xf numFmtId="0" fontId="20" fillId="23" borderId="3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6" fillId="8" borderId="3" xfId="3" applyFont="1" applyBorder="1" applyAlignment="1" applyProtection="1">
      <alignment horizontal="center" vertical="center"/>
    </xf>
    <xf numFmtId="0" fontId="34" fillId="12" borderId="3" xfId="0" applyFont="1" applyFill="1" applyBorder="1" applyAlignment="1">
      <alignment vertical="center" wrapText="1"/>
    </xf>
    <xf numFmtId="9" fontId="34" fillId="12" borderId="3" xfId="0" applyNumberFormat="1" applyFont="1" applyFill="1" applyBorder="1" applyAlignment="1">
      <alignment vertical="center" wrapText="1"/>
    </xf>
    <xf numFmtId="0" fontId="0" fillId="0" borderId="31" xfId="0" applyBorder="1" applyProtection="1">
      <protection locked="0"/>
    </xf>
    <xf numFmtId="0" fontId="0" fillId="0" borderId="32" xfId="0" applyBorder="1" applyProtection="1">
      <protection locked="0"/>
    </xf>
    <xf numFmtId="1" fontId="0" fillId="0" borderId="31" xfId="0" applyNumberFormat="1" applyBorder="1" applyProtection="1">
      <protection locked="0"/>
    </xf>
    <xf numFmtId="2" fontId="2" fillId="24" borderId="33" xfId="0" applyNumberFormat="1" applyFont="1" applyFill="1" applyBorder="1"/>
    <xf numFmtId="0" fontId="2" fillId="24" borderId="35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Alignment="1">
      <alignment vertical="center" wrapText="1"/>
    </xf>
    <xf numFmtId="14" fontId="0" fillId="0" borderId="36" xfId="0" applyNumberFormat="1" applyBorder="1" applyProtection="1">
      <protection locked="0"/>
    </xf>
    <xf numFmtId="14" fontId="0" fillId="0" borderId="37" xfId="0" applyNumberFormat="1" applyBorder="1" applyProtection="1">
      <protection locked="0"/>
    </xf>
    <xf numFmtId="0" fontId="0" fillId="0" borderId="31" xfId="0" applyBorder="1"/>
    <xf numFmtId="0" fontId="0" fillId="0" borderId="28" xfId="0" applyNumberFormat="1" applyBorder="1"/>
    <xf numFmtId="0" fontId="2" fillId="0" borderId="0" xfId="0" applyFont="1" applyAlignment="1">
      <alignment horizontal="center" vertical="center" wrapText="1"/>
    </xf>
    <xf numFmtId="0" fontId="0" fillId="0" borderId="0" xfId="0" applyNumberFormat="1" applyFont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26" borderId="0" xfId="0" applyFill="1" applyAlignment="1">
      <alignment vertical="center"/>
    </xf>
    <xf numFmtId="0" fontId="14" fillId="26" borderId="0" xfId="0" applyFont="1" applyFill="1" applyAlignment="1">
      <alignment vertical="center"/>
    </xf>
    <xf numFmtId="0" fontId="17" fillId="26" borderId="0" xfId="3" applyFont="1" applyFill="1" applyBorder="1" applyAlignment="1" applyProtection="1">
      <alignment horizontal="center" vertical="center"/>
    </xf>
    <xf numFmtId="0" fontId="0" fillId="26" borderId="0" xfId="0" applyFill="1" applyBorder="1" applyAlignment="1">
      <alignment vertical="center"/>
    </xf>
    <xf numFmtId="9" fontId="17" fillId="26" borderId="0" xfId="1" applyFont="1" applyFill="1" applyBorder="1" applyAlignment="1" applyProtection="1">
      <alignment vertical="center"/>
    </xf>
    <xf numFmtId="0" fontId="13" fillId="26" borderId="0" xfId="0" applyFont="1" applyFill="1" applyBorder="1" applyAlignment="1">
      <alignment horizontal="left" vertical="center"/>
    </xf>
    <xf numFmtId="0" fontId="18" fillId="26" borderId="0" xfId="0" applyFont="1" applyFill="1" applyBorder="1" applyAlignment="1">
      <alignment horizontal="center" vertical="center" wrapText="1"/>
    </xf>
    <xf numFmtId="0" fontId="20" fillId="26" borderId="0" xfId="0" applyFont="1" applyFill="1" applyBorder="1" applyAlignment="1">
      <alignment vertical="center" wrapText="1"/>
    </xf>
    <xf numFmtId="0" fontId="37" fillId="2" borderId="6" xfId="0" applyFont="1" applyFill="1" applyBorder="1" applyAlignment="1">
      <alignment horizontal="center" vertical="center"/>
    </xf>
    <xf numFmtId="0" fontId="38" fillId="2" borderId="8" xfId="0" applyFont="1" applyFill="1" applyBorder="1" applyAlignment="1">
      <alignment horizontal="center" vertical="center"/>
    </xf>
    <xf numFmtId="0" fontId="38" fillId="0" borderId="10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41" fillId="0" borderId="0" xfId="0" applyFont="1" applyAlignment="1">
      <alignment vertical="center" wrapText="1"/>
    </xf>
    <xf numFmtId="0" fontId="42" fillId="0" borderId="0" xfId="0" applyFont="1" applyAlignment="1">
      <alignment vertical="center" wrapText="1"/>
    </xf>
    <xf numFmtId="0" fontId="42" fillId="0" borderId="0" xfId="0" applyNumberFormat="1" applyFont="1" applyAlignment="1" applyProtection="1">
      <alignment vertical="center" wrapText="1"/>
    </xf>
    <xf numFmtId="0" fontId="42" fillId="0" borderId="0" xfId="0" applyNumberFormat="1" applyFont="1" applyAlignment="1">
      <alignment vertical="center" wrapText="1"/>
    </xf>
    <xf numFmtId="14" fontId="42" fillId="0" borderId="0" xfId="0" applyNumberFormat="1" applyFont="1" applyAlignment="1">
      <alignment vertical="center" wrapText="1"/>
    </xf>
    <xf numFmtId="164" fontId="0" fillId="0" borderId="0" xfId="0" applyNumberFormat="1" applyAlignment="1">
      <alignment horizontal="center" vertical="center" wrapText="1"/>
    </xf>
    <xf numFmtId="0" fontId="0" fillId="26" borderId="0" xfId="0" applyFill="1" applyAlignment="1">
      <alignment vertical="center" wrapText="1"/>
    </xf>
    <xf numFmtId="0" fontId="12" fillId="26" borderId="0" xfId="0" applyFont="1" applyFill="1" applyAlignment="1">
      <alignment horizontal="right" vertical="center" wrapText="1"/>
    </xf>
    <xf numFmtId="0" fontId="12" fillId="26" borderId="0" xfId="0" applyFont="1" applyFill="1" applyBorder="1" applyAlignment="1">
      <alignment horizontal="left" vertical="center" wrapText="1"/>
    </xf>
    <xf numFmtId="0" fontId="12" fillId="26" borderId="0" xfId="0" applyFont="1" applyFill="1" applyAlignment="1" applyProtection="1">
      <alignment horizontal="right" vertical="center" wrapText="1"/>
    </xf>
    <xf numFmtId="0" fontId="0" fillId="26" borderId="0" xfId="0" applyFill="1" applyAlignment="1" applyProtection="1">
      <alignment vertical="center" wrapText="1"/>
    </xf>
    <xf numFmtId="14" fontId="0" fillId="26" borderId="0" xfId="0" applyNumberFormat="1" applyFill="1" applyAlignment="1">
      <alignment vertical="center" wrapText="1"/>
    </xf>
    <xf numFmtId="0" fontId="41" fillId="26" borderId="0" xfId="0" applyFont="1" applyFill="1" applyAlignment="1">
      <alignment vertical="center" wrapText="1"/>
    </xf>
    <xf numFmtId="0" fontId="42" fillId="26" borderId="0" xfId="0" applyFont="1" applyFill="1" applyAlignment="1">
      <alignment vertical="center" wrapText="1"/>
    </xf>
    <xf numFmtId="0" fontId="39" fillId="3" borderId="8" xfId="0" applyFont="1" applyFill="1" applyBorder="1" applyAlignment="1">
      <alignment horizontal="center" vertical="center"/>
    </xf>
    <xf numFmtId="0" fontId="39" fillId="4" borderId="8" xfId="0" applyFont="1" applyFill="1" applyBorder="1" applyAlignment="1">
      <alignment horizontal="center" vertical="center"/>
    </xf>
    <xf numFmtId="0" fontId="39" fillId="5" borderId="8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10" borderId="8" xfId="0" applyFont="1" applyFill="1" applyBorder="1" applyAlignment="1">
      <alignment horizontal="center" vertical="center"/>
    </xf>
    <xf numFmtId="0" fontId="39" fillId="6" borderId="8" xfId="0" applyFont="1" applyFill="1" applyBorder="1" applyAlignment="1">
      <alignment horizontal="center" vertical="center"/>
    </xf>
    <xf numFmtId="0" fontId="6" fillId="31" borderId="3" xfId="2" applyFont="1" applyFill="1" applyBorder="1" applyAlignment="1">
      <alignment vertical="center" wrapText="1"/>
    </xf>
    <xf numFmtId="0" fontId="6" fillId="31" borderId="3" xfId="2" applyFont="1" applyFill="1" applyBorder="1" applyAlignment="1">
      <alignment vertical="center"/>
    </xf>
    <xf numFmtId="0" fontId="6" fillId="31" borderId="3" xfId="2" applyFont="1" applyFill="1" applyBorder="1" applyAlignment="1">
      <alignment horizontal="center" vertical="center" wrapText="1"/>
    </xf>
    <xf numFmtId="0" fontId="2" fillId="27" borderId="3" xfId="0" applyFont="1" applyFill="1" applyBorder="1" applyAlignment="1">
      <alignment vertical="center"/>
    </xf>
    <xf numFmtId="0" fontId="2" fillId="27" borderId="3" xfId="2" applyFont="1" applyFill="1" applyBorder="1" applyAlignment="1">
      <alignment vertical="center"/>
    </xf>
    <xf numFmtId="0" fontId="45" fillId="27" borderId="3" xfId="0" applyFont="1" applyFill="1" applyBorder="1" applyAlignment="1">
      <alignment horizontal="left" vertical="center"/>
    </xf>
    <xf numFmtId="14" fontId="6" fillId="27" borderId="3" xfId="2" applyNumberFormat="1" applyFont="1" applyFill="1" applyBorder="1" applyAlignment="1" applyProtection="1">
      <alignment horizontal="center" vertical="center" wrapText="1"/>
      <protection locked="0"/>
    </xf>
    <xf numFmtId="0" fontId="48" fillId="26" borderId="0" xfId="0" applyFont="1" applyFill="1" applyBorder="1" applyAlignment="1">
      <alignment horizontal="center" vertical="center" wrapText="1"/>
    </xf>
    <xf numFmtId="0" fontId="50" fillId="26" borderId="0" xfId="0" applyFont="1" applyFill="1" applyBorder="1" applyAlignment="1">
      <alignment vertical="center" wrapText="1"/>
    </xf>
    <xf numFmtId="0" fontId="46" fillId="26" borderId="0" xfId="0" applyFont="1" applyFill="1" applyBorder="1"/>
    <xf numFmtId="0" fontId="44" fillId="26" borderId="0" xfId="0" applyFont="1" applyFill="1" applyBorder="1" applyAlignment="1">
      <alignment vertical="center"/>
    </xf>
    <xf numFmtId="0" fontId="48" fillId="32" borderId="0" xfId="0" applyFont="1" applyFill="1" applyBorder="1" applyAlignment="1">
      <alignment horizontal="center" vertical="center" wrapText="1"/>
    </xf>
    <xf numFmtId="0" fontId="47" fillId="32" borderId="0" xfId="0" applyFont="1" applyFill="1" applyBorder="1" applyAlignment="1">
      <alignment horizontal="center" vertical="center" wrapText="1"/>
    </xf>
    <xf numFmtId="0" fontId="47" fillId="26" borderId="0" xfId="0" applyFont="1" applyFill="1" applyBorder="1" applyAlignment="1">
      <alignment vertical="center" wrapText="1"/>
    </xf>
    <xf numFmtId="0" fontId="30" fillId="25" borderId="0" xfId="0" applyFont="1" applyFill="1" applyBorder="1" applyAlignment="1">
      <alignment horizontal="center" vertical="center" wrapText="1"/>
    </xf>
    <xf numFmtId="9" fontId="49" fillId="26" borderId="0" xfId="1" applyFont="1" applyFill="1" applyBorder="1" applyAlignment="1" applyProtection="1">
      <alignment horizontal="center" vertical="center" wrapText="1"/>
    </xf>
    <xf numFmtId="0" fontId="49" fillId="26" borderId="0" xfId="0" applyFont="1" applyFill="1" applyBorder="1" applyAlignment="1">
      <alignment horizontal="center" vertical="center" wrapText="1"/>
    </xf>
    <xf numFmtId="0" fontId="49" fillId="26" borderId="0" xfId="0" applyFont="1" applyFill="1" applyBorder="1" applyAlignment="1">
      <alignment vertical="center" wrapText="1"/>
    </xf>
    <xf numFmtId="0" fontId="49" fillId="25" borderId="0" xfId="0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horizontal="center" vertical="center" wrapText="1"/>
    </xf>
    <xf numFmtId="9" fontId="30" fillId="26" borderId="0" xfId="0" applyNumberFormat="1" applyFont="1" applyFill="1" applyBorder="1" applyAlignment="1">
      <alignment horizontal="center" vertical="center" wrapText="1"/>
    </xf>
    <xf numFmtId="0" fontId="30" fillId="26" borderId="0" xfId="0" applyFont="1" applyFill="1" applyBorder="1" applyAlignment="1">
      <alignment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51" fillId="34" borderId="4" xfId="0" applyFont="1" applyFill="1" applyBorder="1" applyAlignment="1">
      <alignment horizontal="left" vertical="center"/>
    </xf>
    <xf numFmtId="0" fontId="52" fillId="26" borderId="0" xfId="0" applyFont="1" applyFill="1" applyAlignment="1">
      <alignment horizontal="right" vertical="center"/>
    </xf>
    <xf numFmtId="0" fontId="53" fillId="26" borderId="0" xfId="0" applyFont="1" applyFill="1" applyAlignment="1">
      <alignment vertical="center"/>
    </xf>
    <xf numFmtId="10" fontId="54" fillId="0" borderId="4" xfId="1" applyNumberFormat="1" applyFont="1" applyFill="1" applyBorder="1" applyAlignment="1" applyProtection="1">
      <alignment horizontal="right" vertical="center"/>
    </xf>
    <xf numFmtId="9" fontId="54" fillId="0" borderId="0" xfId="1" applyFont="1" applyFill="1" applyBorder="1" applyAlignment="1" applyProtection="1">
      <alignment horizontal="right" vertical="center"/>
    </xf>
    <xf numFmtId="0" fontId="54" fillId="26" borderId="0" xfId="0" applyFont="1" applyFill="1" applyBorder="1" applyAlignment="1">
      <alignment horizontal="left" vertical="center"/>
    </xf>
    <xf numFmtId="0" fontId="2" fillId="28" borderId="3" xfId="0" applyFont="1" applyFill="1" applyBorder="1" applyAlignment="1">
      <alignment horizontal="center" vertical="center"/>
    </xf>
    <xf numFmtId="0" fontId="16" fillId="36" borderId="3" xfId="3" applyFont="1" applyFill="1" applyBorder="1" applyAlignment="1" applyProtection="1">
      <alignment horizontal="center" vertical="center"/>
    </xf>
    <xf numFmtId="0" fontId="16" fillId="31" borderId="3" xfId="3" applyFont="1" applyFill="1" applyBorder="1" applyAlignment="1" applyProtection="1">
      <alignment horizontal="center" vertical="center" wrapText="1"/>
    </xf>
    <xf numFmtId="0" fontId="33" fillId="35" borderId="3" xfId="0" applyFont="1" applyFill="1" applyBorder="1" applyAlignment="1">
      <alignment horizontal="center" vertical="center" wrapText="1"/>
    </xf>
    <xf numFmtId="0" fontId="33" fillId="29" borderId="3" xfId="0" applyFont="1" applyFill="1" applyBorder="1" applyAlignment="1">
      <alignment horizontal="center" vertical="center"/>
    </xf>
    <xf numFmtId="0" fontId="40" fillId="37" borderId="15" xfId="4" applyFont="1" applyFill="1" applyBorder="1" applyAlignment="1">
      <alignment horizontal="center" vertical="center" wrapText="1"/>
    </xf>
    <xf numFmtId="0" fontId="40" fillId="37" borderId="16" xfId="4" applyFont="1" applyFill="1" applyBorder="1" applyAlignment="1">
      <alignment horizontal="center" vertical="center" wrapText="1"/>
    </xf>
    <xf numFmtId="0" fontId="40" fillId="37" borderId="16" xfId="4" applyFont="1" applyFill="1" applyBorder="1" applyAlignment="1" applyProtection="1">
      <alignment horizontal="center" vertical="center" wrapText="1"/>
    </xf>
    <xf numFmtId="0" fontId="40" fillId="33" borderId="16" xfId="4" applyFont="1" applyFill="1" applyBorder="1" applyAlignment="1">
      <alignment horizontal="center" vertical="center" wrapText="1"/>
    </xf>
    <xf numFmtId="0" fontId="40" fillId="33" borderId="15" xfId="4" applyFont="1" applyFill="1" applyBorder="1" applyAlignment="1">
      <alignment horizontal="center" vertical="center" wrapText="1"/>
    </xf>
    <xf numFmtId="14" fontId="40" fillId="37" borderId="16" xfId="4" applyNumberFormat="1" applyFont="1" applyFill="1" applyBorder="1" applyAlignment="1">
      <alignment horizontal="center" vertical="center" wrapText="1"/>
    </xf>
    <xf numFmtId="164" fontId="40" fillId="37" borderId="16" xfId="4" applyNumberFormat="1" applyFont="1" applyFill="1" applyBorder="1" applyAlignment="1">
      <alignment horizontal="center" vertical="center" wrapText="1"/>
    </xf>
    <xf numFmtId="0" fontId="52" fillId="26" borderId="0" xfId="0" applyFont="1" applyFill="1" applyAlignment="1">
      <alignment horizontal="right" vertical="center" wrapText="1"/>
    </xf>
    <xf numFmtId="0" fontId="52" fillId="38" borderId="4" xfId="0" applyFont="1" applyFill="1" applyBorder="1" applyAlignment="1">
      <alignment horizontal="left" vertical="center" wrapText="1"/>
    </xf>
    <xf numFmtId="0" fontId="52" fillId="26" borderId="0" xfId="0" applyFont="1" applyFill="1" applyAlignment="1" applyProtection="1">
      <alignment horizontal="right" vertical="center" wrapText="1"/>
    </xf>
    <xf numFmtId="0" fontId="30" fillId="39" borderId="17" xfId="0" applyNumberFormat="1" applyFont="1" applyFill="1" applyBorder="1" applyAlignment="1">
      <alignment horizontal="center" vertical="center" wrapText="1"/>
    </xf>
    <xf numFmtId="0" fontId="30" fillId="39" borderId="18" xfId="0" applyNumberFormat="1" applyFont="1" applyFill="1" applyBorder="1" applyAlignment="1">
      <alignment horizontal="center" vertical="center" wrapText="1"/>
    </xf>
    <xf numFmtId="164" fontId="30" fillId="39" borderId="18" xfId="0" applyNumberFormat="1" applyFont="1" applyFill="1" applyBorder="1" applyAlignment="1">
      <alignment horizontal="center" vertical="center" wrapText="1"/>
    </xf>
    <xf numFmtId="0" fontId="30" fillId="39" borderId="19" xfId="0" applyNumberFormat="1" applyFont="1" applyFill="1" applyBorder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14" fontId="0" fillId="30" borderId="0" xfId="0" applyNumberFormat="1" applyFill="1" applyAlignment="1">
      <alignment horizontal="center" vertical="center" wrapText="1"/>
    </xf>
    <xf numFmtId="0" fontId="32" fillId="40" borderId="20" xfId="0" applyFont="1" applyFill="1" applyBorder="1" applyAlignment="1">
      <alignment horizontal="center" vertical="center" wrapText="1"/>
    </xf>
    <xf numFmtId="0" fontId="32" fillId="40" borderId="23" xfId="0" applyFont="1" applyFill="1" applyBorder="1" applyAlignment="1">
      <alignment horizontal="center" vertical="center" wrapText="1"/>
    </xf>
    <xf numFmtId="0" fontId="32" fillId="40" borderId="21" xfId="0" applyFont="1" applyFill="1" applyBorder="1" applyAlignment="1">
      <alignment horizontal="center" vertical="center" wrapText="1"/>
    </xf>
    <xf numFmtId="0" fontId="32" fillId="40" borderId="2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 applyFont="1" applyBorder="1" applyAlignment="1">
      <alignment vertical="center" wrapText="1"/>
    </xf>
    <xf numFmtId="0" fontId="0" fillId="0" borderId="0" xfId="0" applyNumberFormat="1" applyBorder="1" applyAlignment="1">
      <alignment vertical="center" wrapText="1"/>
    </xf>
    <xf numFmtId="164" fontId="0" fillId="0" borderId="0" xfId="0" applyNumberFormat="1" applyBorder="1" applyAlignment="1">
      <alignment vertical="center" wrapText="1"/>
    </xf>
    <xf numFmtId="164" fontId="0" fillId="0" borderId="0" xfId="0" applyNumberFormat="1" applyBorder="1" applyAlignment="1">
      <alignment horizontal="center" vertical="center" wrapText="1"/>
    </xf>
    <xf numFmtId="0" fontId="42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42" fillId="0" borderId="0" xfId="0" applyNumberFormat="1" applyFont="1" applyBorder="1" applyAlignment="1" applyProtection="1">
      <alignment vertical="center" wrapText="1"/>
    </xf>
    <xf numFmtId="0" fontId="42" fillId="0" borderId="0" xfId="0" applyNumberFormat="1" applyFont="1" applyBorder="1" applyAlignment="1">
      <alignment vertical="center" wrapText="1"/>
    </xf>
    <xf numFmtId="14" fontId="42" fillId="0" borderId="0" xfId="0" applyNumberFormat="1" applyFont="1" applyBorder="1" applyAlignment="1">
      <alignment vertical="center" wrapText="1"/>
    </xf>
    <xf numFmtId="0" fontId="0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 applyBorder="1" applyAlignment="1">
      <alignment vertical="center" wrapText="1"/>
    </xf>
    <xf numFmtId="164" fontId="0" fillId="0" borderId="0" xfId="0" applyNumberFormat="1" applyFill="1" applyBorder="1" applyAlignment="1">
      <alignment vertical="center" wrapText="1"/>
    </xf>
    <xf numFmtId="164" fontId="0" fillId="0" borderId="0" xfId="0" applyNumberFormat="1" applyFill="1" applyBorder="1" applyAlignment="1">
      <alignment horizontal="center" vertical="center" wrapText="1"/>
    </xf>
    <xf numFmtId="0" fontId="3" fillId="30" borderId="1" xfId="0" applyFont="1" applyFill="1" applyBorder="1" applyAlignment="1">
      <alignment horizontal="center" vertical="center" wrapText="1"/>
    </xf>
    <xf numFmtId="0" fontId="3" fillId="30" borderId="2" xfId="0" applyFont="1" applyFill="1" applyBorder="1" applyAlignment="1">
      <alignment horizontal="center" vertical="center" wrapText="1"/>
    </xf>
    <xf numFmtId="0" fontId="4" fillId="30" borderId="3" xfId="0" applyFont="1" applyFill="1" applyBorder="1" applyAlignment="1">
      <alignment horizontal="center" vertical="center" wrapText="1"/>
    </xf>
    <xf numFmtId="0" fontId="8" fillId="0" borderId="3" xfId="2" applyFont="1" applyFill="1" applyBorder="1" applyAlignment="1">
      <alignment horizontal="left" vertical="center" wrapText="1"/>
    </xf>
    <xf numFmtId="0" fontId="9" fillId="0" borderId="3" xfId="2" applyFont="1" applyFill="1" applyBorder="1" applyAlignment="1">
      <alignment horizontal="left" vertical="center" wrapText="1"/>
    </xf>
    <xf numFmtId="0" fontId="11" fillId="30" borderId="3" xfId="0" applyFont="1" applyFill="1" applyBorder="1" applyAlignment="1">
      <alignment horizontal="center" vertical="center" wrapText="1"/>
    </xf>
    <xf numFmtId="0" fontId="51" fillId="34" borderId="4" xfId="0" applyFont="1" applyFill="1" applyBorder="1" applyAlignment="1">
      <alignment horizontal="left" vertical="center" wrapText="1"/>
    </xf>
    <xf numFmtId="0" fontId="47" fillId="32" borderId="0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/>
    </xf>
    <xf numFmtId="0" fontId="15" fillId="33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16" fillId="8" borderId="29" xfId="3" applyFont="1" applyBorder="1" applyAlignment="1" applyProtection="1">
      <alignment horizontal="center" vertical="center"/>
    </xf>
    <xf numFmtId="0" fontId="16" fillId="8" borderId="30" xfId="3" applyFont="1" applyBorder="1" applyAlignment="1" applyProtection="1">
      <alignment horizontal="center" vertical="center"/>
    </xf>
    <xf numFmtId="0" fontId="2" fillId="7" borderId="29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35" fillId="22" borderId="0" xfId="0" applyFont="1" applyFill="1" applyAlignment="1">
      <alignment horizontal="left"/>
    </xf>
    <xf numFmtId="0" fontId="2" fillId="24" borderId="33" xfId="0" applyFont="1" applyFill="1" applyBorder="1" applyAlignment="1">
      <alignment horizontal="left"/>
    </xf>
    <xf numFmtId="0" fontId="2" fillId="24" borderId="34" xfId="0" applyFont="1" applyFill="1" applyBorder="1" applyAlignment="1">
      <alignment horizontal="left"/>
    </xf>
    <xf numFmtId="0" fontId="2" fillId="24" borderId="35" xfId="0" applyFont="1" applyFill="1" applyBorder="1" applyAlignment="1">
      <alignment horizontal="left"/>
    </xf>
    <xf numFmtId="0" fontId="52" fillId="38" borderId="12" xfId="0" applyFont="1" applyFill="1" applyBorder="1" applyAlignment="1">
      <alignment horizontal="left" vertical="center" wrapText="1"/>
    </xf>
    <xf numFmtId="0" fontId="52" fillId="38" borderId="13" xfId="0" applyFont="1" applyFill="1" applyBorder="1" applyAlignment="1">
      <alignment horizontal="left" vertical="center" wrapText="1"/>
    </xf>
    <xf numFmtId="0" fontId="52" fillId="38" borderId="14" xfId="0" applyFont="1" applyFill="1" applyBorder="1" applyAlignment="1">
      <alignment horizontal="left" vertical="center" wrapText="1"/>
    </xf>
    <xf numFmtId="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7" fillId="11" borderId="0" xfId="0" applyFont="1" applyFill="1" applyAlignment="1">
      <alignment horizontal="center"/>
    </xf>
    <xf numFmtId="0" fontId="0" fillId="41" borderId="0" xfId="0" applyFill="1" applyAlignment="1">
      <alignment wrapText="1"/>
    </xf>
    <xf numFmtId="0" fontId="0" fillId="41" borderId="0" xfId="0" applyNumberFormat="1" applyFill="1" applyAlignment="1">
      <alignment vertical="center" wrapText="1"/>
    </xf>
    <xf numFmtId="0" fontId="0" fillId="42" borderId="0" xfId="0" applyNumberFormat="1" applyFill="1" applyBorder="1" applyAlignment="1">
      <alignment vertical="center" wrapText="1"/>
    </xf>
    <xf numFmtId="0" fontId="0" fillId="41" borderId="0" xfId="0" applyNumberFormat="1" applyFill="1" applyBorder="1" applyAlignment="1">
      <alignment vertical="center" wrapText="1"/>
    </xf>
    <xf numFmtId="0" fontId="0" fillId="43" borderId="0" xfId="0" applyNumberFormat="1" applyFill="1" applyBorder="1" applyAlignment="1">
      <alignment vertical="center" wrapText="1"/>
    </xf>
    <xf numFmtId="0" fontId="55" fillId="43" borderId="0" xfId="0" applyNumberFormat="1" applyFont="1" applyFill="1" applyBorder="1" applyAlignment="1">
      <alignment vertical="center" wrapText="1"/>
    </xf>
    <xf numFmtId="0" fontId="0" fillId="43" borderId="0" xfId="0" applyNumberFormat="1" applyFill="1" applyAlignment="1">
      <alignment vertical="center" wrapText="1"/>
    </xf>
  </cellXfs>
  <cellStyles count="5">
    <cellStyle name="(4) STM-1 (LECT)_x000d__x000a_PL-4579-M-039-99_x000d__x000a_FALTA APE" xfId="4"/>
    <cellStyle name="Excel Built-in 20% - Accent1" xfId="3"/>
    <cellStyle name="Normal" xfId="0" builtinId="0"/>
    <cellStyle name="Normal_Nuevo Formato Matriz de Pruebas - 150909" xfId="2"/>
    <cellStyle name="Porcentual" xfId="1" builtinId="5"/>
  </cellStyles>
  <dxfs count="71">
    <dxf>
      <numFmt numFmtId="0" formatCode="General"/>
      <border diagonalUp="0" diagonalDown="0" outline="0">
        <left style="thin">
          <color indexed="22"/>
        </left>
        <right/>
        <top style="thin">
          <color indexed="22"/>
        </top>
        <bottom style="thin">
          <color indexed="22"/>
        </bottom>
      </border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9" formatCode="dd/mm/yyyy"/>
      <border diagonalUp="0" diagonalDown="0">
        <left/>
        <right style="thin">
          <color indexed="22"/>
        </right>
        <top/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border diagonalUp="0" diagonalDown="0" outline="0">
        <left style="thin">
          <color indexed="22"/>
        </left>
        <right/>
        <top style="thin">
          <color indexed="22"/>
        </top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  <vertical/>
        <horizontal/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" formatCode="0"/>
      <border diagonalUp="0" diagonalDown="0">
        <left style="thin">
          <color indexed="22"/>
        </left>
        <right/>
        <top/>
        <bottom style="thin">
          <color indexed="22"/>
        </bottom>
      </border>
      <protection locked="0" hidden="0"/>
    </dxf>
    <dxf>
      <numFmt numFmtId="19" formatCode="dd/mm/yyyy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</border>
      <protection locked="0" hidden="0"/>
    </dxf>
    <dxf>
      <border outline="0">
        <left style="medium">
          <color indexed="22"/>
        </left>
        <right style="medium">
          <color indexed="22"/>
        </right>
        <top style="medium">
          <color indexed="22"/>
        </top>
        <bottom style="thin">
          <color indexed="22"/>
        </bottom>
      </border>
    </dxf>
    <dxf>
      <protection locked="0" hidden="0"/>
    </dxf>
    <dxf>
      <border outline="0">
        <bottom style="medium">
          <color indexed="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fgColor indexed="50"/>
          <bgColor theme="3" tint="-0.49998474074526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  <dxf>
      <numFmt numFmtId="0" formatCode="General"/>
      <alignment vertical="center" textRotation="0" wrapText="1" justifyLastLine="0" shrinkToFit="0" mergeCell="0" readingOrder="0"/>
    </dxf>
    <dxf>
      <alignment vertical="center" textRotation="0" wrapText="1" justifyLastLine="0" shrinkToFit="0" mergeCell="0" readingOrder="0"/>
    </dxf>
    <dxf>
      <alignment vertical="center" textRotation="0" wrapText="1" justifyLastLine="0" shrinkToFit="0" mergeCell="0" readingOrder="0"/>
    </dxf>
    <dxf>
      <numFmt numFmtId="19" formatCode="dd/mm/yyyy"/>
      <alignment horizontal="general" vertical="center" textRotation="0" wrapText="1" indent="0" relativeIndent="0" justifyLastLine="0" shrinkToFit="0" mergeCell="0" readingOrder="0"/>
    </dxf>
    <dxf>
      <numFmt numFmtId="19" formatCode="dd/mm/yyyy"/>
      <alignment vertical="center" textRotation="0" wrapText="1" justifyLastLine="0" shrinkToFit="0" mergeCell="0" readingOrder="0"/>
    </dxf>
    <dxf>
      <alignment vertical="center" textRotation="0" wrapText="1" justifyLastLine="0" shrinkToFit="0" mergeCell="0" readingOrder="0"/>
    </dxf>
    <dxf>
      <alignment vertical="center" textRotation="0" wrapText="1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alignment vertical="center" textRotation="0" wrapText="1" justifyLastLine="0" shrinkToFit="0" mergeCell="0" readingOrder="0"/>
    </dxf>
    <dxf>
      <alignment vertical="center" textRotation="0" wrapText="1" justifyLastLine="0" shrinkToFit="0" mergeCell="0" readingOrder="0"/>
    </dxf>
    <dxf>
      <alignment vertical="center" textRotation="0" wrapText="1" justifyLastLine="0" shrinkToFit="0" mergeCell="0" readingOrder="0"/>
    </dxf>
    <dxf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relativeIndent="0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numFmt numFmtId="164" formatCode="dd/mm/yyyy;@"/>
      <alignment horizontal="center" vertical="center" textRotation="0" wrapText="1" indent="0" relativeIndent="255" justifyLastLine="0" shrinkToFit="0" mergeCell="0" readingOrder="0"/>
    </dxf>
    <dxf>
      <numFmt numFmtId="164" formatCode="dd/mm/yyyy;@"/>
      <alignment horizontal="general" vertical="center" textRotation="0" wrapText="1" indent="0" relativeIndent="0" justifyLastLine="0" shrinkToFit="0" mergeCell="0" readingOrder="0"/>
    </dxf>
    <dxf>
      <numFmt numFmtId="164" formatCode="dd/mm/yyyy;@"/>
      <alignment vertical="center" textRotation="0" wrapText="1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numFmt numFmtId="0" formatCode="General"/>
      <alignment vertical="center" textRotation="0" wrapText="1" justifyLastLine="0" shrinkToFit="0" mergeCell="0" readingOrder="0"/>
    </dxf>
    <dxf>
      <font>
        <b val="0"/>
      </font>
      <numFmt numFmtId="0" formatCode="General"/>
      <alignment vertical="center" textRotation="0" wrapText="1" justifyLastLine="0" shrinkToFit="0" mergeCell="0" readingOrder="0"/>
    </dxf>
    <dxf>
      <border outline="0">
        <top style="thin">
          <color theme="9" tint="0.39997558519241921"/>
        </top>
      </border>
    </dxf>
    <dxf>
      <alignment vertical="center" textRotation="0" wrapText="1" justifyLastLine="0" shrinkToFit="0" mergeCell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theme="9"/>
          <bgColor theme="3" tint="-0.499984740745262"/>
        </patternFill>
      </fill>
      <alignment horizontal="center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center" textRotation="0" wrapText="1" indent="0" relativeIndent="255" justifyLastLine="0" shrinkToFit="0" mergeCell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</dxf>
    <dxf>
      <border outline="0">
        <top style="thin">
          <color theme="5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center" textRotation="0" wrapText="1" indent="0" relativeIndent="255" justifyLastLine="0" shrinkToFit="0" mergeCell="0" readingOrder="0"/>
      <border diagonalUp="0" diagonalDown="0">
        <left style="thin">
          <color indexed="9"/>
        </left>
        <right style="thin">
          <color indexed="9"/>
        </right>
        <top/>
        <bottom/>
      </border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9"/>
        <name val="Arial Narrow"/>
        <scheme val="none"/>
      </font>
      <fill>
        <patternFill patternType="solid">
          <fgColor indexed="58"/>
          <bgColor theme="3" tint="-0.499984740745262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font>
        <b/>
        <i val="0"/>
        <color theme="6" tint="-0.499984740745262"/>
      </font>
      <fill>
        <patternFill patternType="solid">
          <fgColor indexed="44"/>
          <bgColor theme="6" tint="0.79998168889431442"/>
        </patternFill>
      </fill>
    </dxf>
    <dxf>
      <font>
        <b/>
        <i val="0"/>
        <color theme="9" tint="-0.499984740745262"/>
      </font>
      <fill>
        <patternFill patternType="solid">
          <fgColor indexed="22"/>
          <bgColor theme="9" tint="0.79998168889431442"/>
        </patternFill>
      </fill>
    </dxf>
    <dxf>
      <font>
        <b/>
        <i val="0"/>
        <color rgb="FFFF0000"/>
      </font>
      <fill>
        <patternFill patternType="solid">
          <fgColor indexed="46"/>
          <bgColor theme="5" tint="0.79998168889431442"/>
        </patternFill>
      </fill>
    </dxf>
  </dxfs>
  <tableStyles count="0" defaultTableStyle="TableStyleMedium9" defaultPivotStyle="PivotStyleLight16"/>
  <colors>
    <mruColors>
      <color rgb="FFFFFF66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pivotCacheDefinition" Target="pivotCache/pivotCacheDefinition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chart>
    <c:title>
      <c:tx>
        <c:rich>
          <a:bodyPr/>
          <a:lstStyle/>
          <a:p>
            <a:pPr>
              <a:defRPr lang="es-ES" sz="1600"/>
            </a:pPr>
            <a:r>
              <a:rPr lang="es-ES" sz="1600"/>
              <a:t>Distribución Porcentual de los Estados de Casos de Prueba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21306389798620531"/>
          <c:y val="0.20151813899974841"/>
          <c:w val="0.50142494135134863"/>
          <c:h val="0.77617833387264945"/>
        </c:manualLayout>
      </c:layout>
      <c:pieChart>
        <c:varyColors val="1"/>
        <c:ser>
          <c:idx val="0"/>
          <c:order val="0"/>
          <c:explosion val="6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Percent val="1"/>
            <c:showLeaderLines val="1"/>
          </c:dLbls>
          <c:cat>
            <c:strRef>
              <c:f>Resumen!$E$12:$J$12</c:f>
              <c:strCache>
                <c:ptCount val="6"/>
                <c:pt idx="0">
                  <c:v>Acierto</c:v>
                </c:pt>
                <c:pt idx="1">
                  <c:v>Fallo</c:v>
                </c:pt>
                <c:pt idx="2">
                  <c:v>Bloqueado</c:v>
                </c:pt>
                <c:pt idx="3">
                  <c:v>Pendiente</c:v>
                </c:pt>
                <c:pt idx="4">
                  <c:v>No Aplica</c:v>
                </c:pt>
                <c:pt idx="5">
                  <c:v>En Proceso</c:v>
                </c:pt>
              </c:strCache>
            </c:strRef>
          </c:cat>
          <c:val>
            <c:numRef>
              <c:f>Resumen!$E$14:$J$14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0.57894736842105265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/>
      <c:txPr>
        <a:bodyPr/>
        <a:lstStyle/>
        <a:p>
          <a:pPr>
            <a:defRPr lang="es-ES"/>
          </a:pPr>
          <a:endParaRPr lang="es-PE"/>
        </a:p>
      </c:txPr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Porcentual de los Estados de las Incidencias</a:t>
            </a:r>
          </a:p>
        </c:rich>
      </c:tx>
      <c:layout/>
    </c:title>
    <c:plotArea>
      <c:layout/>
      <c:pieChart>
        <c:varyColors val="1"/>
        <c:ser>
          <c:idx val="0"/>
          <c:order val="0"/>
          <c:explosion val="4"/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lang="es-ES"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showPercent val="1"/>
            <c:showLeaderLines val="1"/>
          </c:dLbls>
          <c:cat>
            <c:multiLvlStrRef>
              <c:f>(Resumen!$C$28,Resumen!$E$28)</c:f>
            </c:multiLvlStrRef>
          </c:cat>
          <c:val>
            <c:numRef>
              <c:f>(Resumen!$C$34,Resumen!$E$34)</c:f>
            </c:numRef>
          </c:val>
        </c:ser>
        <c:dLbls>
          <c:showPercent val="1"/>
        </c:dLbls>
        <c:firstSliceAng val="0"/>
      </c:pieChart>
    </c:plotArea>
    <c:legend>
      <c:legendPos val="r"/>
      <c:layout/>
      <c:txPr>
        <a:bodyPr/>
        <a:lstStyle/>
        <a:p>
          <a:pPr rtl="0">
            <a:defRPr lang="es-ES"/>
          </a:pPr>
          <a:endParaRPr lang="es-PE"/>
        </a:p>
      </c:txPr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chart>
    <c:plotArea>
      <c:layout/>
      <c:lineChart>
        <c:grouping val="standard"/>
        <c:ser>
          <c:idx val="0"/>
          <c:order val="0"/>
          <c:tx>
            <c:strRef>
              <c:f>HistoricoAvance!$C$3</c:f>
              <c:strCache>
                <c:ptCount val="1"/>
                <c:pt idx="0">
                  <c:v>Aciertos</c:v>
                </c:pt>
              </c:strCache>
            </c:strRef>
          </c:tx>
          <c:spPr>
            <a:ln w="50800"/>
          </c:spPr>
          <c:cat>
            <c:numRef>
              <c:f>HistoricoAvance!$B$4</c:f>
              <c:numCache>
                <c:formatCode>dd/mm/yyyy</c:formatCode>
                <c:ptCount val="1"/>
              </c:numCache>
            </c:numRef>
          </c:cat>
          <c:val>
            <c:numRef>
              <c:f>HistoricoAvance!$C$4</c:f>
              <c:numCache>
                <c:formatCode>0</c:formatCode>
                <c:ptCount val="1"/>
              </c:numCache>
            </c:numRef>
          </c:val>
        </c:ser>
        <c:ser>
          <c:idx val="1"/>
          <c:order val="1"/>
          <c:tx>
            <c:strRef>
              <c:f>HistoricoAvance!$D$3</c:f>
              <c:strCache>
                <c:ptCount val="1"/>
                <c:pt idx="0">
                  <c:v>Fallos</c:v>
                </c:pt>
              </c:strCache>
            </c:strRef>
          </c:tx>
          <c:spPr>
            <a:ln w="50800"/>
          </c:spPr>
          <c:cat>
            <c:numRef>
              <c:f>HistoricoAvance!$B$4</c:f>
              <c:numCache>
                <c:formatCode>dd/mm/yyyy</c:formatCode>
                <c:ptCount val="1"/>
              </c:numCache>
            </c:numRef>
          </c:cat>
          <c:val>
            <c:numRef>
              <c:f>HistoricoAvance!$D$4</c:f>
              <c:numCache>
                <c:formatCode>0</c:formatCode>
                <c:ptCount val="1"/>
              </c:numCache>
            </c:numRef>
          </c:val>
        </c:ser>
        <c:ser>
          <c:idx val="2"/>
          <c:order val="2"/>
          <c:tx>
            <c:strRef>
              <c:f>HistoricoAvance!$E$3</c:f>
              <c:strCache>
                <c:ptCount val="1"/>
                <c:pt idx="0">
                  <c:v>Bloqueado</c:v>
                </c:pt>
              </c:strCache>
            </c:strRef>
          </c:tx>
          <c:cat>
            <c:numRef>
              <c:f>HistoricoAvance!$B$4</c:f>
              <c:numCache>
                <c:formatCode>dd/mm/yyyy</c:formatCode>
                <c:ptCount val="1"/>
              </c:numCache>
            </c:numRef>
          </c:cat>
          <c:val>
            <c:numRef>
              <c:f>HistoricoAvance!$E$4</c:f>
              <c:numCache>
                <c:formatCode>0</c:formatCode>
                <c:ptCount val="1"/>
              </c:numCache>
            </c:numRef>
          </c:val>
        </c:ser>
        <c:ser>
          <c:idx val="3"/>
          <c:order val="3"/>
          <c:tx>
            <c:strRef>
              <c:f>HistoricoAvance!$F$3</c:f>
              <c:strCache>
                <c:ptCount val="1"/>
                <c:pt idx="0">
                  <c:v>Pendiente</c:v>
                </c:pt>
              </c:strCache>
            </c:strRef>
          </c:tx>
          <c:cat>
            <c:numRef>
              <c:f>HistoricoAvance!$B$4</c:f>
              <c:numCache>
                <c:formatCode>dd/mm/yyyy</c:formatCode>
                <c:ptCount val="1"/>
              </c:numCache>
            </c:numRef>
          </c:cat>
          <c:val>
            <c:numRef>
              <c:f>HistoricoAvance!$F$4</c:f>
              <c:numCache>
                <c:formatCode>0</c:formatCode>
                <c:ptCount val="1"/>
              </c:numCache>
            </c:numRef>
          </c:val>
        </c:ser>
        <c:ser>
          <c:idx val="4"/>
          <c:order val="4"/>
          <c:tx>
            <c:strRef>
              <c:f>HistoricoAvance!$G$3</c:f>
              <c:strCache>
                <c:ptCount val="1"/>
                <c:pt idx="0">
                  <c:v>No Aplica</c:v>
                </c:pt>
              </c:strCache>
            </c:strRef>
          </c:tx>
          <c:cat>
            <c:numRef>
              <c:f>HistoricoAvance!$B$4</c:f>
              <c:numCache>
                <c:formatCode>dd/mm/yyyy</c:formatCode>
                <c:ptCount val="1"/>
              </c:numCache>
            </c:numRef>
          </c:cat>
          <c:val>
            <c:numRef>
              <c:f>HistoricoAvance!$G$4</c:f>
              <c:numCache>
                <c:formatCode>0</c:formatCode>
                <c:ptCount val="1"/>
              </c:numCache>
            </c:numRef>
          </c:val>
        </c:ser>
        <c:ser>
          <c:idx val="5"/>
          <c:order val="5"/>
          <c:tx>
            <c:strRef>
              <c:f>HistoricoAvance!$H$3</c:f>
              <c:strCache>
                <c:ptCount val="1"/>
                <c:pt idx="0">
                  <c:v>En Proceso</c:v>
                </c:pt>
              </c:strCache>
            </c:strRef>
          </c:tx>
          <c:cat>
            <c:numRef>
              <c:f>HistoricoAvance!$B$4</c:f>
              <c:numCache>
                <c:formatCode>dd/mm/yyyy</c:formatCode>
                <c:ptCount val="1"/>
              </c:numCache>
            </c:numRef>
          </c:cat>
          <c:val>
            <c:numRef>
              <c:f>HistoricoAvance!$H$4</c:f>
              <c:numCache>
                <c:formatCode>0</c:formatCode>
                <c:ptCount val="1"/>
              </c:numCache>
            </c:numRef>
          </c:val>
        </c:ser>
        <c:ser>
          <c:idx val="6"/>
          <c:order val="6"/>
          <c:tx>
            <c:strRef>
              <c:f>HistoricoAvance!$I$3</c:f>
              <c:strCache>
                <c:ptCount val="1"/>
                <c:pt idx="0">
                  <c:v>Reejecuciones</c:v>
                </c:pt>
              </c:strCache>
            </c:strRef>
          </c:tx>
          <c:cat>
            <c:numRef>
              <c:f>HistoricoAvance!$B$4</c:f>
              <c:numCache>
                <c:formatCode>dd/mm/yyyy</c:formatCode>
                <c:ptCount val="1"/>
              </c:numCache>
            </c:numRef>
          </c:cat>
          <c:val>
            <c:numRef>
              <c:f>HistoricoAvance!$I$4</c:f>
              <c:numCache>
                <c:formatCode>0</c:formatCode>
                <c:ptCount val="1"/>
              </c:numCache>
            </c:numRef>
          </c:val>
        </c:ser>
        <c:ser>
          <c:idx val="7"/>
          <c:order val="7"/>
          <c:tx>
            <c:strRef>
              <c:f>HistoricoAvance!$J$3</c:f>
              <c:strCache>
                <c:ptCount val="1"/>
                <c:pt idx="0">
                  <c:v>Totales</c:v>
                </c:pt>
              </c:strCache>
            </c:strRef>
          </c:tx>
          <c:spPr>
            <a:ln w="50800" cmpd="sng">
              <a:solidFill>
                <a:schemeClr val="tx1"/>
              </a:solidFill>
            </a:ln>
          </c:spPr>
          <c:cat>
            <c:numRef>
              <c:f>HistoricoAvance!$B$4</c:f>
              <c:numCache>
                <c:formatCode>dd/mm/yyyy</c:formatCode>
                <c:ptCount val="1"/>
              </c:numCache>
            </c:numRef>
          </c:cat>
          <c:val>
            <c:numRef>
              <c:f>HistoricoAvance!$J$4</c:f>
              <c:numCache>
                <c:formatCode>General</c:formatCode>
                <c:ptCount val="1"/>
              </c:numCache>
            </c:numRef>
          </c:val>
        </c:ser>
        <c:marker val="1"/>
        <c:axId val="74809728"/>
        <c:axId val="74811264"/>
      </c:lineChart>
      <c:catAx>
        <c:axId val="74809728"/>
        <c:scaling>
          <c:orientation val="minMax"/>
        </c:scaling>
        <c:axPos val="b"/>
        <c:numFmt formatCode="dd/mm/yyyy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4811264"/>
        <c:crosses val="autoZero"/>
        <c:auto val="1"/>
        <c:lblAlgn val="ctr"/>
        <c:lblOffset val="100"/>
      </c:catAx>
      <c:valAx>
        <c:axId val="74811264"/>
        <c:scaling>
          <c:orientation val="minMax"/>
        </c:scaling>
        <c:axPos val="l"/>
        <c:majorGridlines/>
        <c:numFmt formatCode="0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4809728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es-ES"/>
          </a:pPr>
          <a:endParaRPr lang="es-PE"/>
        </a:p>
      </c:txPr>
    </c:legend>
    <c:plotVisOnly val="1"/>
  </c:chart>
  <c:printSettings>
    <c:headerFooter/>
    <c:pageMargins b="0.75000000000000711" l="0.70000000000000062" r="0.70000000000000062" t="0.750000000000007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chart>
    <c:plotArea>
      <c:layout/>
      <c:lineChart>
        <c:grouping val="standard"/>
        <c:ser>
          <c:idx val="0"/>
          <c:order val="0"/>
          <c:tx>
            <c:strRef>
              <c:f>HistoricoAvance!$M$3</c:f>
              <c:strCache>
                <c:ptCount val="1"/>
                <c:pt idx="0">
                  <c:v>Abiertas</c:v>
                </c:pt>
              </c:strCache>
            </c:strRef>
          </c:tx>
          <c:spPr>
            <a:ln w="50800">
              <a:solidFill>
                <a:schemeClr val="accent2"/>
              </a:solidFill>
            </a:ln>
          </c:spPr>
          <c:cat>
            <c:numRef>
              <c:f>HistoricoAvance!$L$4:$L$5</c:f>
              <c:numCache>
                <c:formatCode>dd/mm/yyyy</c:formatCode>
                <c:ptCount val="2"/>
                <c:pt idx="0">
                  <c:v>40667</c:v>
                </c:pt>
                <c:pt idx="1">
                  <c:v>40681</c:v>
                </c:pt>
              </c:numCache>
            </c:numRef>
          </c:cat>
          <c:val>
            <c:numRef>
              <c:f>HistoricoAvance!$M$4:$M$5</c:f>
              <c:numCache>
                <c:formatCode>0</c:formatCode>
                <c:ptCount val="2"/>
                <c:pt idx="0">
                  <c:v>12</c:v>
                </c:pt>
                <c:pt idx="1">
                  <c:v>9</c:v>
                </c:pt>
              </c:numCache>
            </c:numRef>
          </c:val>
        </c:ser>
        <c:ser>
          <c:idx val="1"/>
          <c:order val="1"/>
          <c:tx>
            <c:strRef>
              <c:f>HistoricoAvance!$N$3</c:f>
              <c:strCache>
                <c:ptCount val="1"/>
                <c:pt idx="0">
                  <c:v>Cerradas</c:v>
                </c:pt>
              </c:strCache>
            </c:strRef>
          </c:tx>
          <c:spPr>
            <a:ln w="50800">
              <a:solidFill>
                <a:schemeClr val="accent1"/>
              </a:solidFill>
            </a:ln>
          </c:spPr>
          <c:cat>
            <c:numRef>
              <c:f>HistoricoAvance!$L$4:$L$5</c:f>
              <c:numCache>
                <c:formatCode>dd/mm/yyyy</c:formatCode>
                <c:ptCount val="2"/>
                <c:pt idx="0">
                  <c:v>40667</c:v>
                </c:pt>
                <c:pt idx="1">
                  <c:v>40681</c:v>
                </c:pt>
              </c:numCache>
            </c:numRef>
          </c:cat>
          <c:val>
            <c:numRef>
              <c:f>HistoricoAvance!$N$4:$N$5</c:f>
              <c:numCache>
                <c:formatCode>0</c:formatCode>
                <c:ptCount val="2"/>
                <c:pt idx="1">
                  <c:v>10</c:v>
                </c:pt>
              </c:numCache>
            </c:numRef>
          </c:val>
        </c:ser>
        <c:ser>
          <c:idx val="2"/>
          <c:order val="2"/>
          <c:tx>
            <c:strRef>
              <c:f>HistoricoAvance!$O$3</c:f>
              <c:strCache>
                <c:ptCount val="1"/>
                <c:pt idx="0">
                  <c:v>Totales</c:v>
                </c:pt>
              </c:strCache>
            </c:strRef>
          </c:tx>
          <c:cat>
            <c:numRef>
              <c:f>HistoricoAvance!$L$4:$L$5</c:f>
              <c:numCache>
                <c:formatCode>dd/mm/yyyy</c:formatCode>
                <c:ptCount val="2"/>
                <c:pt idx="0">
                  <c:v>40667</c:v>
                </c:pt>
                <c:pt idx="1">
                  <c:v>40681</c:v>
                </c:pt>
              </c:numCache>
            </c:numRef>
          </c:cat>
          <c:val>
            <c:numRef>
              <c:f>HistoricoAvance!$O$4:$O$5</c:f>
              <c:numCache>
                <c:formatCode>General</c:formatCode>
                <c:ptCount val="2"/>
                <c:pt idx="0">
                  <c:v>12</c:v>
                </c:pt>
                <c:pt idx="1">
                  <c:v>19</c:v>
                </c:pt>
              </c:numCache>
            </c:numRef>
          </c:val>
        </c:ser>
        <c:marker val="1"/>
        <c:axId val="74848896"/>
        <c:axId val="74854784"/>
      </c:lineChart>
      <c:dateAx>
        <c:axId val="74848896"/>
        <c:scaling>
          <c:orientation val="minMax"/>
        </c:scaling>
        <c:axPos val="b"/>
        <c:numFmt formatCode="dd/mm/yyyy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4854784"/>
        <c:crosses val="autoZero"/>
        <c:auto val="1"/>
        <c:lblOffset val="100"/>
      </c:dateAx>
      <c:valAx>
        <c:axId val="74854784"/>
        <c:scaling>
          <c:orientation val="minMax"/>
        </c:scaling>
        <c:axPos val="l"/>
        <c:majorGridlines/>
        <c:numFmt formatCode="0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4848896"/>
        <c:crosses val="autoZero"/>
        <c:crossBetween val="between"/>
      </c:valAx>
    </c:plotArea>
    <c:legend>
      <c:legendPos val="r"/>
      <c:txPr>
        <a:bodyPr/>
        <a:lstStyle/>
        <a:p>
          <a:pPr>
            <a:defRPr lang="es-ES"/>
          </a:pPr>
          <a:endParaRPr lang="es-PE"/>
        </a:p>
      </c:txPr>
    </c:legend>
    <c:plotVisOnly val="1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pivotSource>
    <c:name>[BANKMIN_CasosPrueba_20110504_PM06_Versión1.1.xlsm]CuadrosResumen!Tabla dinámica1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Severidad</a:t>
            </a:r>
            <a:endParaRPr lang="en-US"/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CuadrosResumen!$C$70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Val val="1"/>
          </c:dLbls>
          <c:cat>
            <c:strRef>
              <c:f>CuadrosResumen!$B$71:$B$73</c:f>
              <c:strCache>
                <c:ptCount val="2"/>
                <c:pt idx="0">
                  <c:v>Severidad 3</c:v>
                </c:pt>
                <c:pt idx="1">
                  <c:v>Severidad 4</c:v>
                </c:pt>
              </c:strCache>
            </c:strRef>
          </c:cat>
          <c:val>
            <c:numRef>
              <c:f>CuadrosResumen!$C$71:$C$73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axId val="74879360"/>
        <c:axId val="74880896"/>
      </c:barChart>
      <c:catAx>
        <c:axId val="74879360"/>
        <c:scaling>
          <c:orientation val="minMax"/>
        </c:scaling>
        <c:axPos val="b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4880896"/>
        <c:crosses val="autoZero"/>
        <c:auto val="1"/>
        <c:lblAlgn val="ctr"/>
        <c:lblOffset val="100"/>
      </c:catAx>
      <c:valAx>
        <c:axId val="74880896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4879360"/>
        <c:crosses val="autoZero"/>
        <c:crossBetween val="between"/>
      </c:valAx>
    </c:plotArea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pivotSource>
    <c:name>[BANKMIN_CasosPrueba_20110504_PM06_Versión1.1.xlsm]CuadrosResumen!Tabla dinámica2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Prioridad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CuadrosResumen!$H$70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Val val="1"/>
          </c:dLbls>
          <c:cat>
            <c:strRef>
              <c:f>CuadrosResumen!$G$71:$G$72</c:f>
              <c:strCache>
                <c:ptCount val="1"/>
                <c:pt idx="0">
                  <c:v>Alta</c:v>
                </c:pt>
              </c:strCache>
            </c:strRef>
          </c:cat>
          <c:val>
            <c:numRef>
              <c:f>CuadrosResumen!$H$71:$H$72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axId val="75171712"/>
        <c:axId val="75173248"/>
      </c:barChart>
      <c:catAx>
        <c:axId val="75171712"/>
        <c:scaling>
          <c:orientation val="minMax"/>
        </c:scaling>
        <c:axPos val="b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5173248"/>
        <c:crosses val="autoZero"/>
        <c:auto val="1"/>
        <c:lblAlgn val="ctr"/>
        <c:lblOffset val="100"/>
      </c:catAx>
      <c:valAx>
        <c:axId val="75173248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5171712"/>
        <c:crosses val="autoZero"/>
        <c:crossBetween val="between"/>
      </c:valAx>
    </c:plotArea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pivotSource>
    <c:name>[BANKMIN_CasosPrueba_20110504_PM06_Versión1.1.xlsm]CuadrosResumen!Tabla dinámica3</c:name>
    <c:fmtId val="0"/>
  </c:pivotSource>
  <c:chart>
    <c:title>
      <c:txPr>
        <a:bodyPr/>
        <a:lstStyle/>
        <a:p>
          <a:pPr>
            <a:defRPr lang="es-ES"/>
          </a:pPr>
          <a:endParaRPr lang="es-PE"/>
        </a:p>
      </c:tx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CuadrosResumen!$M$70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Val val="1"/>
          </c:dLbls>
          <c:cat>
            <c:strRef>
              <c:f>CuadrosResumen!$L$71:$L$72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CuadrosResumen!$M$71:$M$72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axId val="75185536"/>
        <c:axId val="75203712"/>
      </c:barChart>
      <c:catAx>
        <c:axId val="75185536"/>
        <c:scaling>
          <c:orientation val="minMax"/>
        </c:scaling>
        <c:axPos val="b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5203712"/>
        <c:crosses val="autoZero"/>
        <c:auto val="1"/>
        <c:lblAlgn val="ctr"/>
        <c:lblOffset val="100"/>
      </c:catAx>
      <c:valAx>
        <c:axId val="75203712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5185536"/>
        <c:crosses val="autoZero"/>
        <c:crossBetween val="between"/>
      </c:valAx>
    </c:plotArea>
    <c:plotVisOnly val="1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pivotSource>
    <c:name>[BANKMIN_CasosPrueba_20110504_PM06_Versión1.1.xlsm]CuadrosResumen!Tabla dinámica5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 por Responsable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CuadrosResumen!$C$91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Val val="1"/>
          </c:dLbls>
          <c:cat>
            <c:strRef>
              <c:f>CuadrosResumen!$B$92:$B$93</c:f>
              <c:strCache>
                <c:ptCount val="1"/>
                <c:pt idx="0">
                  <c:v>(en blanco)</c:v>
                </c:pt>
              </c:strCache>
            </c:strRef>
          </c:cat>
          <c:val>
            <c:numRef>
              <c:f>CuadrosResumen!$C$92:$C$93</c:f>
              <c:numCache>
                <c:formatCode>General</c:formatCode>
                <c:ptCount val="1"/>
              </c:numCache>
            </c:numRef>
          </c:val>
        </c:ser>
        <c:axId val="75227904"/>
        <c:axId val="75229440"/>
      </c:barChart>
      <c:catAx>
        <c:axId val="75227904"/>
        <c:scaling>
          <c:orientation val="minMax"/>
        </c:scaling>
        <c:axPos val="b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5229440"/>
        <c:crosses val="autoZero"/>
        <c:auto val="1"/>
        <c:lblAlgn val="ctr"/>
        <c:lblOffset val="100"/>
      </c:catAx>
      <c:valAx>
        <c:axId val="75229440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5227904"/>
        <c:crosses val="autoZero"/>
        <c:crossBetween val="between"/>
      </c:valAx>
    </c:plotArea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pivotSource>
    <c:name>[BANKMIN_CasosPrueba_20110504_PM06_Versión1.1.xlsm]CuadrosResumen!Tabla dinámica6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s-ES"/>
              <a:t>Distribución por Prioridad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CuadrosResumen!$H$91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Val val="1"/>
          </c:dLbls>
          <c:cat>
            <c:strRef>
              <c:f>CuadrosResumen!$G$92:$G$93</c:f>
              <c:strCache>
                <c:ptCount val="1"/>
                <c:pt idx="0">
                  <c:v>#N/A</c:v>
                </c:pt>
              </c:strCache>
            </c:strRef>
          </c:cat>
          <c:val>
            <c:numRef>
              <c:f>CuadrosResumen!$H$92:$H$93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76314880"/>
        <c:axId val="76328960"/>
      </c:barChart>
      <c:catAx>
        <c:axId val="76314880"/>
        <c:scaling>
          <c:orientation val="minMax"/>
        </c:scaling>
        <c:axPos val="b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6328960"/>
        <c:crosses val="autoZero"/>
        <c:auto val="1"/>
        <c:lblAlgn val="ctr"/>
        <c:lblOffset val="100"/>
      </c:catAx>
      <c:valAx>
        <c:axId val="76328960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6314880"/>
        <c:crosses val="autoZero"/>
        <c:crossBetween val="between"/>
      </c:valAx>
    </c:plotArea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pivotSource>
    <c:name>[BANKMIN_CasosPrueba_20110504_PM06_Versión1.1.xlsm]CuadrosResumen!Tabla dinámica7</c:name>
    <c:fmtId val="0"/>
  </c:pivotSource>
  <c:chart>
    <c:title>
      <c:tx>
        <c:rich>
          <a:bodyPr/>
          <a:lstStyle/>
          <a:p>
            <a:pPr>
              <a:defRPr lang="es-ES"/>
            </a:pPr>
            <a:r>
              <a:rPr lang="en-US"/>
              <a:t>Distribución</a:t>
            </a:r>
            <a:r>
              <a:rPr lang="en-US" baseline="0"/>
              <a:t> por Estado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s-PE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 lang="es-ES"/>
              </a:pPr>
              <a:endParaRPr lang="es-PE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CuadrosResumen!$M$91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 lang="es-ES"/>
                </a:pPr>
                <a:endParaRPr lang="es-PE"/>
              </a:p>
            </c:txPr>
            <c:showVal val="1"/>
          </c:dLbls>
          <c:cat>
            <c:strRef>
              <c:f>CuadrosResumen!$L$92:$L$93</c:f>
              <c:strCache>
                <c:ptCount val="1"/>
                <c:pt idx="0">
                  <c:v>Cerrada</c:v>
                </c:pt>
              </c:strCache>
            </c:strRef>
          </c:cat>
          <c:val>
            <c:numRef>
              <c:f>CuadrosResumen!$M$92:$M$93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76431744"/>
        <c:axId val="76433280"/>
      </c:barChart>
      <c:catAx>
        <c:axId val="76431744"/>
        <c:scaling>
          <c:orientation val="minMax"/>
        </c:scaling>
        <c:axPos val="b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6433280"/>
        <c:crosses val="autoZero"/>
        <c:auto val="1"/>
        <c:lblAlgn val="ctr"/>
        <c:lblOffset val="100"/>
      </c:catAx>
      <c:valAx>
        <c:axId val="76433280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es-ES"/>
            </a:pPr>
            <a:endParaRPr lang="es-PE"/>
          </a:p>
        </c:txPr>
        <c:crossAx val="76431744"/>
        <c:crosses val="autoZero"/>
        <c:crossBetween val="between"/>
      </c:valAx>
    </c:plotArea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355600</xdr:colOff>
      <xdr:row>1</xdr:row>
      <xdr:rowOff>25400</xdr:rowOff>
    </xdr:from>
    <xdr:to>
      <xdr:col>1</xdr:col>
      <xdr:colOff>457200</xdr:colOff>
      <xdr:row>5</xdr:row>
      <xdr:rowOff>135913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5600" y="101600"/>
          <a:ext cx="850900" cy="6947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190499</xdr:rowOff>
    </xdr:from>
    <xdr:to>
      <xdr:col>8</xdr:col>
      <xdr:colOff>0</xdr:colOff>
      <xdr:row>20</xdr:row>
      <xdr:rowOff>47624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15</xdr:col>
      <xdr:colOff>523875</xdr:colOff>
      <xdr:row>20</xdr:row>
      <xdr:rowOff>57150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9525</xdr:rowOff>
    </xdr:from>
    <xdr:to>
      <xdr:col>16</xdr:col>
      <xdr:colOff>0</xdr:colOff>
      <xdr:row>42</xdr:row>
      <xdr:rowOff>9525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16</xdr:col>
      <xdr:colOff>0</xdr:colOff>
      <xdr:row>64</xdr:row>
      <xdr:rowOff>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69</xdr:row>
      <xdr:rowOff>9524</xdr:rowOff>
    </xdr:from>
    <xdr:to>
      <xdr:col>5</xdr:col>
      <xdr:colOff>0</xdr:colOff>
      <xdr:row>84</xdr:row>
      <xdr:rowOff>190499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68</xdr:row>
      <xdr:rowOff>190499</xdr:rowOff>
    </xdr:from>
    <xdr:to>
      <xdr:col>10</xdr:col>
      <xdr:colOff>466725</xdr:colOff>
      <xdr:row>84</xdr:row>
      <xdr:rowOff>180974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68</xdr:row>
      <xdr:rowOff>190499</xdr:rowOff>
    </xdr:from>
    <xdr:to>
      <xdr:col>15</xdr:col>
      <xdr:colOff>200025</xdr:colOff>
      <xdr:row>84</xdr:row>
      <xdr:rowOff>180974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9525</xdr:colOff>
      <xdr:row>89</xdr:row>
      <xdr:rowOff>190499</xdr:rowOff>
    </xdr:from>
    <xdr:to>
      <xdr:col>4</xdr:col>
      <xdr:colOff>752475</xdr:colOff>
      <xdr:row>105</xdr:row>
      <xdr:rowOff>180974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89</xdr:row>
      <xdr:rowOff>190499</xdr:rowOff>
    </xdr:from>
    <xdr:to>
      <xdr:col>10</xdr:col>
      <xdr:colOff>447675</xdr:colOff>
      <xdr:row>106</xdr:row>
      <xdr:rowOff>9524</xdr:rowOff>
    </xdr:to>
    <xdr:graphicFrame macro="">
      <xdr:nvGraphicFramePr>
        <xdr:cNvPr id="12" name="1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761999</xdr:colOff>
      <xdr:row>90</xdr:row>
      <xdr:rowOff>0</xdr:rowOff>
    </xdr:from>
    <xdr:to>
      <xdr:col>15</xdr:col>
      <xdr:colOff>180974</xdr:colOff>
      <xdr:row>106</xdr:row>
      <xdr:rowOff>19050</xdr:rowOff>
    </xdr:to>
    <xdr:graphicFrame macro="">
      <xdr:nvGraphicFramePr>
        <xdr:cNvPr id="13" name="1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347381</xdr:colOff>
      <xdr:row>0</xdr:row>
      <xdr:rowOff>0</xdr:rowOff>
    </xdr:from>
    <xdr:to>
      <xdr:col>2</xdr:col>
      <xdr:colOff>1712082</xdr:colOff>
      <xdr:row>2</xdr:row>
      <xdr:rowOff>717176</xdr:rowOff>
    </xdr:to>
    <xdr:pic>
      <xdr:nvPicPr>
        <xdr:cNvPr id="2" name="Picture 1" descr="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57616" y="0"/>
          <a:ext cx="1364701" cy="1098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niella\Desktop\GDP_PM03_CasosPrueba_2204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eneral"/>
      <sheetName val="Resumen"/>
      <sheetName val="CuadrosResumen"/>
      <sheetName val="Iteracion"/>
      <sheetName val="Observaciones"/>
      <sheetName val="Consultas"/>
      <sheetName val="HistoricoAvance"/>
      <sheetName val="GDP_PM03_CasosPrueba_220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ecastillom" refreshedDate="40637.721217708335" createdVersion="3" refreshedVersion="3" minRefreshableVersion="3" recordCount="1">
  <cacheSource type="worksheet">
    <worksheetSource name="Consultas[[#Todo],[Estado]]"/>
  </cacheSource>
  <cacheFields count="1">
    <cacheField name="Estado" numFmtId="0">
      <sharedItems count="2">
        <s v="Cerrada"/>
        <s v="Abierta" u="1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oecastillom" refreshedDate="40637.721217939812" createdVersion="3" refreshedVersion="3" minRefreshableVersion="3" recordCount="1">
  <cacheSource type="worksheet">
    <worksheetSource name="Consultas[[#Todo],[Prioridad]]"/>
  </cacheSource>
  <cacheFields count="1">
    <cacheField name="Prioridad" numFmtId="0">
      <sharedItems containsMixedTypes="1" containsNumber="1" containsInteger="1" minValue="0" maxValue="0" count="2">
        <e v="#N/A"/>
        <n v="0" u="1"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oecastillom" refreshedDate="40637.721218171297" createdVersion="3" refreshedVersion="3" minRefreshableVersion="3" recordCount="1">
  <cacheSource type="worksheet">
    <worksheetSource name="Consultas[[#Todo],[Responsable]]"/>
  </cacheSource>
  <cacheFields count="1">
    <cacheField name="Responsable" numFmtId="0">
      <sharedItems containsNonDate="0" containsBlank="1" count="5">
        <m/>
        <s v="Gestor Cliente" u="1"/>
        <s v="Proveedor" u="1"/>
        <s v="Redes TMP" u="1"/>
        <s v="Gestor Aplicaciones" u="1"/>
      </sharedItems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oecastillom" refreshedDate="40637.72121851852" createdVersion="3" refreshedVersion="3" minRefreshableVersion="3" recordCount="2">
  <cacheSource type="worksheet">
    <worksheetSource name="Observaciones[[#Todo],[Severidad]]"/>
  </cacheSource>
  <cacheFields count="1">
    <cacheField name="Severidad" numFmtId="0">
      <sharedItems containsBlank="1" count="5">
        <s v="Severidad 4"/>
        <s v="Severidad 3"/>
        <m u="1"/>
        <s v="Severidad 1" u="1"/>
        <s v="Severidad 2" u="1"/>
      </sharedItems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oecastillom" refreshedDate="40637.721218634259" createdVersion="3" refreshedVersion="3" minRefreshableVersion="3" recordCount="2">
  <cacheSource type="worksheet">
    <worksheetSource name="Observaciones[[#Todo],[Prioridad]]"/>
  </cacheSource>
  <cacheFields count="1">
    <cacheField name="Prioridad" numFmtId="0">
      <sharedItems count="4">
        <s v="Alta"/>
        <s v="Media" u="1"/>
        <s v="Baja" u="1"/>
        <e v="#N/A" u="1"/>
      </sharedItems>
    </cacheField>
  </cacheFields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oecastillom" refreshedDate="40637.721218981482" createdVersion="3" refreshedVersion="3" minRefreshableVersion="3" recordCount="2">
  <cacheSource type="worksheet">
    <worksheetSource name="Observaciones[[#Todo],[Estado]]"/>
  </cacheSource>
  <cacheFields count="1">
    <cacheField name="Estado" numFmtId="0">
      <sharedItems containsBlank="1" count="4">
        <s v="Cerrada"/>
        <m u="1"/>
        <s v="Corregida" u="1"/>
        <s v="Abierta" u="1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">
  <r>
    <x v="0"/>
  </r>
  <r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"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3" cacheId="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L70:M72" firstHeaderRow="1" firstDataRow="1" firstDataCol="1"/>
  <pivotFields count="1">
    <pivotField axis="axisRow" dataField="1" showAll="0">
      <items count="5">
        <item m="1" x="1"/>
        <item m="1" x="3"/>
        <item m="1" x="2"/>
        <item x="0"/>
        <item t="default"/>
      </items>
    </pivotField>
  </pivotFields>
  <rowFields count="1">
    <field x="0"/>
  </rowFields>
  <rowItems count="2">
    <i>
      <x v="3"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 dinámica5" cacheId="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B91:C93" firstHeaderRow="1" firstDataRow="1" firstDataCol="1"/>
  <pivotFields count="1">
    <pivotField axis="axisRow" dataField="1" showAll="0">
      <items count="6">
        <item m="1" x="4"/>
        <item m="1" x="2"/>
        <item m="1" x="3"/>
        <item m="1" x="1"/>
        <item x="0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dataFields count="1">
    <dataField name="Cuenta de Responsabl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G70:H72" firstHeaderRow="1" firstDataRow="1" firstDataCol="1"/>
  <pivotFields count="1">
    <pivotField axis="axisRow" dataField="1" showAll="0">
      <items count="5">
        <item x="0"/>
        <item m="1" x="1"/>
        <item m="1" x="2"/>
        <item m="1" x="3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B70:C73" firstHeaderRow="1" firstDataRow="1" firstDataCol="1"/>
  <pivotFields count="1">
    <pivotField axis="axisRow" dataField="1" showAll="0">
      <items count="6">
        <item m="1" x="3"/>
        <item m="1" x="4"/>
        <item x="1"/>
        <item x="0"/>
        <item m="1" x="2"/>
        <item t="default"/>
      </items>
    </pivotField>
  </pivotFields>
  <rowFields count="1">
    <field x="0"/>
  </rowFields>
  <rowItems count="3">
    <i>
      <x v="2"/>
    </i>
    <i>
      <x v="3"/>
    </i>
    <i t="grand">
      <x/>
    </i>
  </rowItems>
  <colItems count="1">
    <i/>
  </colItems>
  <dataFields count="1">
    <dataField name="Cuenta de Seve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L91:M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Estado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6" cacheId="1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G91:H93" firstHeaderRow="1" firstDataRow="1" firstDataCol="1"/>
  <pivotFields count="1">
    <pivotField axis="axisRow" dataField="1" showAll="0">
      <items count="3">
        <item m="1" x="1"/>
        <item x="0"/>
        <item t="default"/>
      </items>
    </pivotField>
  </pivotFields>
  <rowFields count="1">
    <field x="0"/>
  </rowFields>
  <rowItems count="2">
    <i>
      <x v="1"/>
    </i>
    <i t="grand">
      <x/>
    </i>
  </rowItems>
  <colItems count="1">
    <i/>
  </colItems>
  <dataFields count="1">
    <dataField name="Cuenta de Priorida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CasoPrueba" displayName="CasoPrueba" ref="A4:Q23" totalsRowShown="0" headerRowDxfId="67" dataDxfId="65" headerRowBorderDxfId="66" tableBorderDxfId="64">
  <autoFilter ref="A4:Q23"/>
  <tableColumns count="17">
    <tableColumn id="1" name="Código de REQ" dataDxfId="63"/>
    <tableColumn id="2" name="Código CP" dataDxfId="62"/>
    <tableColumn id="3" name="Funcionalidad" dataDxfId="61"/>
    <tableColumn id="4" name="Descripción Caso de Prueba"/>
    <tableColumn id="5" name="Resultado Esperado" dataDxfId="60"/>
    <tableColumn id="6" name="Resultado Real" dataDxfId="59">
      <calculatedColumnFormula>IF(CasoPrueba[[#This Row],[Estado Testing]]=Resumen!$P$28,"OK",IF(CasoPrueba[[#This Row],[Estado Testing]]=Resumen!$P$29,"NO OK",IF((CasoPrueba[[#This Row],[Estado Testing]]=Resumen!$P$30)+(CasoPrueba[[#This Row],[Estado Testing]]=Resumen!$P$31),"OBSERVADO","")))</calculatedColumnFormula>
    </tableColumn>
    <tableColumn id="7" name="Estado Testing" dataDxfId="58"/>
    <tableColumn id="8" name="Prioridad" dataDxfId="57"/>
    <tableColumn id="9" name="Severidad" dataDxfId="56"/>
    <tableColumn id="10" name="Estado Incidencia" dataDxfId="55"/>
    <tableColumn id="11" name="Reejecución" dataDxfId="54"/>
    <tableColumn id="12" name="Fecha Planificada" dataDxfId="53">
      <calculatedColumnFormula>General!$A$10</calculatedColumnFormula>
    </tableColumn>
    <tableColumn id="13" name="Fecha Real" dataDxfId="52"/>
    <tableColumn id="14" name="Duración Caso de Prueba (horas / hombre)" dataDxfId="51"/>
    <tableColumn id="16" name="Pre-requisitos para la ejecución de la prueba" dataDxfId="50"/>
    <tableColumn id="17" name="Observaciones Pruebas Testing" dataDxfId="49"/>
    <tableColumn id="18" name="Revisión" dataDxfId="48">
      <calculatedColumnFormula>CONCATENATE(General!$B$7," ",General!$B$6)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Observaciones" displayName="Observaciones" ref="A2:L21" totalsRowShown="0" headerRowDxfId="47" dataDxfId="45" headerRowBorderDxfId="46" tableBorderDxfId="44">
  <autoFilter ref="A2:L21">
    <filterColumn colId="4"/>
    <filterColumn colId="7"/>
    <filterColumn colId="9">
      <filters blank="1"/>
    </filterColumn>
    <filterColumn colId="11"/>
  </autoFilter>
  <tableColumns count="12">
    <tableColumn id="1" name="Cod. Obs." dataDxfId="43"/>
    <tableColumn id="2" name="Caso de Prueba" dataDxfId="42"/>
    <tableColumn id="3" name="Prioridad" dataDxfId="41">
      <calculatedColumnFormula>VLOOKUP([1]!Observaciones[Caso de Prueba],[1]!CasoPrueba[[#All],[Código CP]:[Prioridad]],7,TRUE)</calculatedColumnFormula>
    </tableColumn>
    <tableColumn id="4" name="Severidad" dataDxfId="40"/>
    <tableColumn id="5" name="Estado" dataDxfId="39"/>
    <tableColumn id="6" name="Fecha Detección" dataDxfId="38"/>
    <tableColumn id="7" name="Fecha Levantamiento" dataDxfId="37"/>
    <tableColumn id="8" name="Responsable" dataDxfId="36"/>
    <tableColumn id="9" name="Descripción" dataDxfId="35"/>
    <tableColumn id="10" name="Solución" dataDxfId="34"/>
    <tableColumn id="11" name="Tiempo de Solución (Dias)" dataDxfId="33">
      <calculatedColumnFormula>IF(([1]!Observaciones[[#This Row],[Fecha Levantamiento]]-[1]!Observaciones[[#This Row],[Fecha Detección]])&gt;=0,[1]!Observaciones[[#This Row],[Fecha Levantamiento]]-[1]!Observaciones[[#This Row],[Fecha Detección]]+1,0)</calculatedColumnFormula>
    </tableColumn>
    <tableColumn id="13" name="Cod. Req." dataDxfId="32">
      <calculatedColumnFormula>LOOKUP([1]!Observaciones[[#This Row],[Caso de Prueba]],[1]!CasoPrueba[Código CP],[1]!CasoPrueba[Código de REQ])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Consultas" displayName="Consultas" ref="A2:J3" totalsRowShown="0" headerRowDxfId="31" dataDxfId="30">
  <autoFilter ref="A2:J3">
    <filterColumn colId="4"/>
  </autoFilter>
  <tableColumns count="10">
    <tableColumn id="1" name="Cod. Cons." dataDxfId="29"/>
    <tableColumn id="2" name="Caso de Prueba" dataDxfId="28"/>
    <tableColumn id="3" name="Prioridad" dataDxfId="27"/>
    <tableColumn id="4" name="Estado" dataDxfId="26"/>
    <tableColumn id="10" name="Responsable" dataDxfId="25"/>
    <tableColumn id="5" name="Fecha Solicitud" dataDxfId="24"/>
    <tableColumn id="6" name="Fecha Respuesta" dataDxfId="23"/>
    <tableColumn id="7" name="Descripción de la Consulta" dataDxfId="22"/>
    <tableColumn id="8" name="Respuesta del Responsable" dataDxfId="21"/>
    <tableColumn id="9" name="Tiempo de Solución" dataDxfId="2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HistóricoEjecuciones" displayName="HistóricoEjecuciones" ref="B3:J4" totalsRowShown="0" headerRowDxfId="19" dataDxfId="17" headerRowBorderDxfId="18" tableBorderDxfId="16">
  <sortState ref="B11:G12">
    <sortCondition ref="C6:C8"/>
  </sortState>
  <tableColumns count="9">
    <tableColumn id="1" name="Fecha" dataDxfId="15"/>
    <tableColumn id="2" name="Aciertos" dataDxfId="14"/>
    <tableColumn id="3" name="Fallos" dataDxfId="13"/>
    <tableColumn id="4" name="Bloqueado" dataDxfId="12"/>
    <tableColumn id="7" name="Pendiente" dataDxfId="11"/>
    <tableColumn id="5" name="No Aplica" dataDxfId="10"/>
    <tableColumn id="8" name="En Proceso" dataDxfId="9"/>
    <tableColumn id="9" name="Reejecuciones" dataDxfId="8"/>
    <tableColumn id="6" name="Totales" dataDxfId="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HistoricoIncidencias" displayName="HistoricoIncidencias" ref="L3:O5" totalsRowShown="0" headerRowDxfId="6" headerRowBorderDxfId="5" tableBorderDxfId="4">
  <tableColumns count="4">
    <tableColumn id="1" name="Fecha" dataDxfId="3"/>
    <tableColumn id="2" name="Abiertas" dataDxfId="2"/>
    <tableColumn id="4" name="Cerradas" dataDxfId="1"/>
    <tableColumn id="5" name="Tot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XFB11"/>
  <sheetViews>
    <sheetView workbookViewId="0">
      <selection activeCell="C10" sqref="C10"/>
    </sheetView>
  </sheetViews>
  <sheetFormatPr baseColWidth="10" defaultColWidth="0" defaultRowHeight="15" zeroHeight="1"/>
  <cols>
    <col min="1" max="4" width="39.7109375" style="4" customWidth="1"/>
    <col min="5" max="16381" width="11.42578125" style="4" hidden="1"/>
    <col min="16382" max="16382" width="23" style="4" hidden="1"/>
    <col min="16383" max="16384" width="19.28515625" style="4" hidden="1"/>
  </cols>
  <sheetData>
    <row r="1" spans="1:10 16382:16382" ht="27" thickBot="1">
      <c r="A1" s="182" t="s">
        <v>0</v>
      </c>
      <c r="B1" s="183"/>
      <c r="C1" s="183"/>
      <c r="D1" s="183"/>
      <c r="XFB1" s="4" t="s">
        <v>134</v>
      </c>
    </row>
    <row r="2" spans="1:10 16382:16382" ht="19.5" customHeight="1">
      <c r="A2" s="184" t="s">
        <v>1</v>
      </c>
      <c r="B2" s="184"/>
      <c r="C2" s="184"/>
      <c r="D2" s="184"/>
      <c r="XFB2" s="4" t="s">
        <v>135</v>
      </c>
    </row>
    <row r="3" spans="1:10 16382:16382" ht="19.5" customHeight="1">
      <c r="A3" s="114" t="s">
        <v>138</v>
      </c>
      <c r="B3" s="117" t="s">
        <v>203</v>
      </c>
      <c r="C3" s="114" t="s">
        <v>2</v>
      </c>
      <c r="D3" s="118" t="s">
        <v>137</v>
      </c>
      <c r="XFB3" s="4" t="s">
        <v>136</v>
      </c>
    </row>
    <row r="4" spans="1:10 16382:16382" ht="19.5" customHeight="1">
      <c r="A4" s="115" t="s">
        <v>139</v>
      </c>
      <c r="B4" s="188" t="s">
        <v>202</v>
      </c>
      <c r="C4" s="188"/>
      <c r="D4" s="188"/>
      <c r="E4" s="188"/>
      <c r="F4" s="188"/>
      <c r="G4" s="188"/>
      <c r="H4" s="188"/>
      <c r="I4" s="188"/>
      <c r="J4" s="188"/>
      <c r="XFB4" s="4" t="s">
        <v>137</v>
      </c>
    </row>
    <row r="5" spans="1:10 16382:16382" ht="120" customHeight="1">
      <c r="A5" s="114" t="s">
        <v>3</v>
      </c>
      <c r="B5" s="185"/>
      <c r="C5" s="186"/>
      <c r="D5" s="186"/>
    </row>
    <row r="6" spans="1:10 16382:16382" ht="19.5" customHeight="1">
      <c r="A6" s="114" t="s">
        <v>147</v>
      </c>
      <c r="B6" s="119" t="s">
        <v>204</v>
      </c>
      <c r="C6" s="114" t="s">
        <v>4</v>
      </c>
      <c r="D6" s="1" t="s">
        <v>149</v>
      </c>
    </row>
    <row r="7" spans="1:10 16382:16382" ht="19.5" customHeight="1">
      <c r="A7" s="114" t="s">
        <v>148</v>
      </c>
      <c r="B7" s="117" t="s">
        <v>206</v>
      </c>
      <c r="C7" s="114" t="s">
        <v>140</v>
      </c>
      <c r="D7" s="2" t="s">
        <v>205</v>
      </c>
    </row>
    <row r="8" spans="1:10 16382:16382" ht="19.5" customHeight="1">
      <c r="A8" s="187" t="s">
        <v>5</v>
      </c>
      <c r="B8" s="187"/>
      <c r="C8" s="187" t="s">
        <v>6</v>
      </c>
      <c r="D8" s="187"/>
    </row>
    <row r="9" spans="1:10 16382:16382" ht="19.5" customHeight="1">
      <c r="A9" s="116" t="s">
        <v>7</v>
      </c>
      <c r="B9" s="116" t="s">
        <v>8</v>
      </c>
      <c r="C9" s="116" t="s">
        <v>7</v>
      </c>
      <c r="D9" s="116" t="s">
        <v>8</v>
      </c>
    </row>
    <row r="10" spans="1:10 16382:16382" ht="19.5" customHeight="1">
      <c r="A10" s="120">
        <v>40667</v>
      </c>
      <c r="B10" s="3"/>
      <c r="C10" s="3" t="s">
        <v>156</v>
      </c>
      <c r="D10" s="3" t="s">
        <v>156</v>
      </c>
    </row>
    <row r="11" spans="1:10 16382:16382" hidden="1"/>
  </sheetData>
  <mergeCells count="6">
    <mergeCell ref="A1:D1"/>
    <mergeCell ref="A2:D2"/>
    <mergeCell ref="B5:D5"/>
    <mergeCell ref="A8:B8"/>
    <mergeCell ref="C8:D8"/>
    <mergeCell ref="B4:J4"/>
  </mergeCells>
  <dataValidations count="1">
    <dataValidation type="list" allowBlank="1" showInputMessage="1" showErrorMessage="1" sqref="D3">
      <formula1>$XFB$1:$XFB$4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R38"/>
  <sheetViews>
    <sheetView zoomScale="124" zoomScaleNormal="124" workbookViewId="0">
      <pane ySplit="7" topLeftCell="A8" activePane="bottomLeft" state="frozen"/>
      <selection pane="bottomLeft" activeCell="C12" sqref="C12"/>
    </sheetView>
  </sheetViews>
  <sheetFormatPr baseColWidth="10" defaultColWidth="0" defaultRowHeight="15" zeroHeight="1"/>
  <cols>
    <col min="1" max="1" width="11.28515625" style="4" customWidth="1"/>
    <col min="2" max="2" width="16.85546875" style="4" customWidth="1"/>
    <col min="3" max="3" width="11.42578125" style="4" customWidth="1"/>
    <col min="4" max="4" width="15.5703125" style="4" bestFit="1" customWidth="1"/>
    <col min="5" max="5" width="7.7109375" style="4" bestFit="1" customWidth="1"/>
    <col min="6" max="6" width="10.5703125" style="4" bestFit="1" customWidth="1"/>
    <col min="7" max="7" width="11" style="4" bestFit="1" customWidth="1"/>
    <col min="8" max="8" width="13.140625" style="4" bestFit="1" customWidth="1"/>
    <col min="9" max="10" width="11.42578125" style="4" customWidth="1"/>
    <col min="11" max="11" width="13.28515625" style="4" customWidth="1"/>
    <col min="12" max="12" width="8.5703125" style="4" customWidth="1"/>
    <col min="13" max="13" width="5.85546875" style="4" customWidth="1"/>
    <col min="14" max="14" width="6.5703125" style="4" customWidth="1"/>
    <col min="15" max="15" width="6.42578125" style="4" customWidth="1"/>
    <col min="16" max="16" width="20" style="4" hidden="1" customWidth="1"/>
    <col min="17" max="17" width="37.7109375" style="4" hidden="1" customWidth="1"/>
    <col min="18" max="18" width="5.85546875" style="4" customWidth="1"/>
    <col min="19" max="16384" width="11.42578125" style="4" hidden="1"/>
  </cols>
  <sheetData>
    <row r="1" spans="1:18" ht="6" customHeight="1">
      <c r="A1" s="79"/>
      <c r="B1" s="79"/>
      <c r="C1" s="79"/>
      <c r="F1" s="79"/>
      <c r="P1" s="79"/>
      <c r="Q1" s="79"/>
      <c r="R1" s="79"/>
    </row>
    <row r="2" spans="1:18">
      <c r="A2" s="79"/>
      <c r="B2" s="79"/>
      <c r="C2" s="138" t="s">
        <v>9</v>
      </c>
      <c r="D2" s="137" t="s">
        <v>203</v>
      </c>
      <c r="E2" s="79"/>
      <c r="F2" s="138" t="s">
        <v>10</v>
      </c>
      <c r="G2" s="188" t="s">
        <v>202</v>
      </c>
      <c r="H2" s="188"/>
      <c r="I2" s="188"/>
      <c r="J2" s="188"/>
      <c r="K2" s="188"/>
      <c r="L2" s="188"/>
      <c r="M2" s="188"/>
      <c r="N2" s="188"/>
      <c r="O2" s="188"/>
      <c r="P2" s="79"/>
      <c r="Q2" s="79"/>
      <c r="R2" s="79"/>
    </row>
    <row r="3" spans="1:18" ht="6" customHeight="1">
      <c r="A3" s="79"/>
      <c r="B3" s="79"/>
      <c r="C3" s="139"/>
      <c r="E3" s="79"/>
      <c r="F3" s="13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</row>
    <row r="4" spans="1:18" ht="18.75">
      <c r="A4" s="79"/>
      <c r="B4" s="79"/>
      <c r="C4" s="138" t="s">
        <v>11</v>
      </c>
      <c r="D4" s="140">
        <f>$E$14+$I$14</f>
        <v>0</v>
      </c>
      <c r="E4" s="139"/>
      <c r="F4" s="138" t="s">
        <v>12</v>
      </c>
      <c r="G4" s="190" t="str">
        <f>IF(SUM($C$30:$C$31)&gt;0,P37,IF((SUM($C$30:$C$31)=0)*(SUM($C$32:$C$33)),$P$36,IF($C$34=0,$P$35,$P$35)))</f>
        <v>INSATISFACTORIO</v>
      </c>
      <c r="H4" s="190"/>
      <c r="I4" s="190"/>
      <c r="J4" s="190"/>
      <c r="K4" s="190"/>
      <c r="L4" s="190"/>
      <c r="M4" s="190"/>
      <c r="N4" s="190"/>
      <c r="O4" s="190"/>
      <c r="P4" s="79"/>
      <c r="Q4" s="79"/>
      <c r="R4" s="79"/>
    </row>
    <row r="5" spans="1:18" ht="6" customHeight="1">
      <c r="A5" s="79"/>
      <c r="B5" s="79"/>
      <c r="C5" s="138"/>
      <c r="D5" s="141"/>
      <c r="E5" s="138"/>
      <c r="F5" s="142"/>
      <c r="G5" s="84"/>
      <c r="H5" s="84"/>
      <c r="I5" s="84"/>
      <c r="J5" s="84"/>
      <c r="K5" s="84"/>
      <c r="L5" s="84"/>
      <c r="M5" s="84"/>
      <c r="N5" s="84"/>
      <c r="O5" s="84"/>
      <c r="P5" s="79"/>
      <c r="Q5" s="79"/>
      <c r="R5" s="79"/>
    </row>
    <row r="6" spans="1:18" ht="18.75">
      <c r="A6" s="79"/>
      <c r="B6" s="79"/>
      <c r="C6" s="138" t="s">
        <v>13</v>
      </c>
      <c r="D6" s="140">
        <f>$C$11/$C$10</f>
        <v>0.52631578947368418</v>
      </c>
      <c r="E6" s="139"/>
      <c r="F6" s="13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</row>
    <row r="7" spans="1:18" ht="4.5" customHeight="1">
      <c r="A7" s="79"/>
      <c r="B7" s="79"/>
      <c r="C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</row>
    <row r="8" spans="1:18" ht="23.25">
      <c r="A8" s="80" t="s">
        <v>14</v>
      </c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</row>
    <row r="9" spans="1:18" ht="4.5" customHeight="1" thickBot="1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</row>
    <row r="10" spans="1:18" ht="15.75" thickBot="1">
      <c r="A10" s="79"/>
      <c r="B10" s="136" t="s">
        <v>15</v>
      </c>
      <c r="C10" s="9">
        <f>ROWS(CasoPrueba[])</f>
        <v>19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87" t="s">
        <v>32</v>
      </c>
      <c r="Q10" s="11" t="s">
        <v>3</v>
      </c>
      <c r="R10" s="79"/>
    </row>
    <row r="11" spans="1:18" ht="15.75" thickBot="1">
      <c r="A11" s="79"/>
      <c r="B11" s="136" t="s">
        <v>16</v>
      </c>
      <c r="C11" s="9">
        <v>10</v>
      </c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88" t="s">
        <v>33</v>
      </c>
      <c r="Q11" s="12" t="s">
        <v>34</v>
      </c>
      <c r="R11" s="79"/>
    </row>
    <row r="12" spans="1:18" ht="30.75" thickBot="1">
      <c r="A12" s="79"/>
      <c r="B12" s="136" t="s">
        <v>18</v>
      </c>
      <c r="C12" s="9">
        <v>0</v>
      </c>
      <c r="D12" s="79"/>
      <c r="E12" s="92" t="s">
        <v>19</v>
      </c>
      <c r="F12" s="93" t="s">
        <v>20</v>
      </c>
      <c r="G12" s="146" t="s">
        <v>21</v>
      </c>
      <c r="H12" s="147" t="s">
        <v>22</v>
      </c>
      <c r="I12" s="143" t="s">
        <v>23</v>
      </c>
      <c r="J12" s="144" t="s">
        <v>24</v>
      </c>
      <c r="K12" s="145" t="s">
        <v>129</v>
      </c>
      <c r="L12" s="81"/>
      <c r="M12" s="79"/>
      <c r="N12" s="79"/>
      <c r="O12" s="79"/>
      <c r="P12" s="89" t="s">
        <v>35</v>
      </c>
      <c r="Q12" s="13" t="s">
        <v>36</v>
      </c>
      <c r="R12" s="79"/>
    </row>
    <row r="13" spans="1:18" ht="30.75" thickBot="1">
      <c r="A13" s="79"/>
      <c r="B13" s="136" t="s">
        <v>113</v>
      </c>
      <c r="C13" s="9">
        <f>COUNTIF(CasoPrueba[[#All],[Estado Testing]],$P$29)</f>
        <v>0</v>
      </c>
      <c r="D13" s="79"/>
      <c r="E13" s="5">
        <f>COUNTIF(CasoPrueba[[#All],[Estado Testing]],$P$28)</f>
        <v>0</v>
      </c>
      <c r="F13" s="5">
        <f>COUNTIF(CasoPrueba[[#All],[Estado Testing]],$P$29)</f>
        <v>0</v>
      </c>
      <c r="G13" s="5">
        <f>COUNTIF(CasoPrueba[[#All],[Estado Testing]],$P$30)</f>
        <v>0</v>
      </c>
      <c r="H13" s="5">
        <v>11</v>
      </c>
      <c r="I13" s="5">
        <f>COUNTIF(CasoPrueba[[#All],[Estado Testing]],$P$31)</f>
        <v>0</v>
      </c>
      <c r="J13" s="5">
        <f>COUNTIF(CasoPrueba[[#All],[Estado Testing]],$P$32)</f>
        <v>19</v>
      </c>
      <c r="K13" s="5">
        <f>SUM(CasoPrueba[[#All],[Reejecución]])</f>
        <v>0</v>
      </c>
      <c r="L13" s="82"/>
      <c r="M13" s="79"/>
      <c r="N13" s="79"/>
      <c r="O13" s="79"/>
      <c r="P13" s="90" t="s">
        <v>37</v>
      </c>
      <c r="Q13" s="14" t="s">
        <v>38</v>
      </c>
      <c r="R13" s="79"/>
    </row>
    <row r="14" spans="1:18" ht="15.75" thickBot="1">
      <c r="A14" s="79"/>
      <c r="B14" s="136" t="s">
        <v>17</v>
      </c>
      <c r="C14" s="9">
        <f>COUNTIF(CasoPrueba[[#All],[Estado Testing]],$P$30)</f>
        <v>0</v>
      </c>
      <c r="D14" s="79"/>
      <c r="E14" s="15">
        <f t="shared" ref="E14:J14" si="0">E13/$C$10</f>
        <v>0</v>
      </c>
      <c r="F14" s="15">
        <f t="shared" si="0"/>
        <v>0</v>
      </c>
      <c r="G14" s="15">
        <f t="shared" si="0"/>
        <v>0</v>
      </c>
      <c r="H14" s="15">
        <f t="shared" si="0"/>
        <v>0.57894736842105265</v>
      </c>
      <c r="I14" s="15">
        <f t="shared" si="0"/>
        <v>0</v>
      </c>
      <c r="J14" s="15">
        <f t="shared" si="0"/>
        <v>1</v>
      </c>
      <c r="K14" s="15">
        <f>K13/C10</f>
        <v>0</v>
      </c>
      <c r="L14" s="83"/>
      <c r="M14" s="79"/>
      <c r="N14" s="79"/>
      <c r="O14" s="79"/>
      <c r="P14" s="91" t="s">
        <v>39</v>
      </c>
      <c r="Q14" s="16" t="s">
        <v>40</v>
      </c>
      <c r="R14" s="79"/>
    </row>
    <row r="15" spans="1:18" ht="9" customHeight="1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</row>
    <row r="16" spans="1:18" ht="15.75" hidden="1" thickBot="1">
      <c r="A16" s="79"/>
      <c r="B16" s="191" t="s">
        <v>25</v>
      </c>
      <c r="C16" s="192" t="s">
        <v>19</v>
      </c>
      <c r="D16" s="192"/>
      <c r="E16" s="193" t="s">
        <v>20</v>
      </c>
      <c r="F16" s="193"/>
      <c r="G16" s="194" t="s">
        <v>21</v>
      </c>
      <c r="H16" s="194"/>
      <c r="I16" s="195" t="s">
        <v>22</v>
      </c>
      <c r="J16" s="196"/>
      <c r="K16" s="199" t="s">
        <v>23</v>
      </c>
      <c r="L16" s="200"/>
      <c r="M16" s="197" t="s">
        <v>24</v>
      </c>
      <c r="N16" s="198"/>
      <c r="O16" s="79"/>
      <c r="P16" s="10" t="s">
        <v>41</v>
      </c>
      <c r="Q16" s="11" t="s">
        <v>42</v>
      </c>
      <c r="R16" s="79"/>
    </row>
    <row r="17" spans="1:18" ht="15.75" hidden="1" thickBot="1">
      <c r="A17" s="79"/>
      <c r="B17" s="191"/>
      <c r="C17" s="56" t="s">
        <v>26</v>
      </c>
      <c r="D17" s="56" t="s">
        <v>27</v>
      </c>
      <c r="E17" s="57" t="s">
        <v>26</v>
      </c>
      <c r="F17" s="57" t="s">
        <v>27</v>
      </c>
      <c r="G17" s="58" t="s">
        <v>26</v>
      </c>
      <c r="H17" s="58" t="s">
        <v>27</v>
      </c>
      <c r="I17" s="59" t="s">
        <v>26</v>
      </c>
      <c r="J17" s="59" t="s">
        <v>27</v>
      </c>
      <c r="K17" s="60" t="s">
        <v>26</v>
      </c>
      <c r="L17" s="60" t="s">
        <v>27</v>
      </c>
      <c r="M17" s="61" t="s">
        <v>26</v>
      </c>
      <c r="N17" s="61" t="s">
        <v>27</v>
      </c>
      <c r="O17" s="79"/>
      <c r="P17" s="17" t="s">
        <v>28</v>
      </c>
      <c r="Q17" s="18" t="s">
        <v>43</v>
      </c>
      <c r="R17" s="79"/>
    </row>
    <row r="18" spans="1:18" ht="15.75" hidden="1" thickBot="1">
      <c r="A18" s="79"/>
      <c r="B18" s="43" t="s">
        <v>28</v>
      </c>
      <c r="C18" s="44">
        <f>COUNTIFS(CasoPrueba[[#All],[Estado Testing]],$P$28,CasoPrueba[[#All],[Prioridad]],$P$17)</f>
        <v>0</v>
      </c>
      <c r="D18" s="45">
        <f>C18/$C$10</f>
        <v>0</v>
      </c>
      <c r="E18" s="46">
        <f>COUNTIFS(CasoPrueba[[#All],[Estado Testing]],$P$29,CasoPrueba[[#All],[Prioridad]],$P$17)</f>
        <v>0</v>
      </c>
      <c r="F18" s="47">
        <f>E18/$C$10</f>
        <v>0</v>
      </c>
      <c r="G18" s="48">
        <f>COUNTIFS(CasoPrueba[[#All],[Estado Testing]],$P$30,CasoPrueba[[#All],[Prioridad]],$P$17)</f>
        <v>0</v>
      </c>
      <c r="H18" s="49">
        <f>G18/$C$10</f>
        <v>0</v>
      </c>
      <c r="I18" s="50">
        <f>COUNTIFS(CasoPrueba[[#All],[Estado Testing]],$P$27,CasoPrueba[[#All],[Prioridad]],$P$17)</f>
        <v>0</v>
      </c>
      <c r="J18" s="51">
        <f>I18/$C$10</f>
        <v>0</v>
      </c>
      <c r="K18" s="52">
        <f>COUNTIFS(CasoPrueba[[#All],[Estado Testing]],$P$31,CasoPrueba[[#All],[Prioridad]],$P$17)</f>
        <v>0</v>
      </c>
      <c r="L18" s="54">
        <f>K18/$C$10</f>
        <v>0</v>
      </c>
      <c r="M18" s="55">
        <f>COUNTIFS(CasoPrueba[[#All],[Estado Testing]],$P$29,CasoPrueba[[#All],[Prioridad]],$P$17)</f>
        <v>0</v>
      </c>
      <c r="N18" s="53">
        <f>M18/$C$10</f>
        <v>0</v>
      </c>
      <c r="O18" s="79"/>
      <c r="P18" s="19" t="s">
        <v>29</v>
      </c>
      <c r="Q18" s="20" t="s">
        <v>44</v>
      </c>
      <c r="R18" s="79"/>
    </row>
    <row r="19" spans="1:18" ht="15.75" hidden="1" thickBot="1">
      <c r="A19" s="79"/>
      <c r="B19" s="43" t="s">
        <v>29</v>
      </c>
      <c r="C19" s="44">
        <f>COUNTIFS(CasoPrueba[[#All],[Estado Testing]],$P$28,CasoPrueba[[#All],[Prioridad]],$P$18)</f>
        <v>0</v>
      </c>
      <c r="D19" s="45">
        <f t="shared" ref="D19:F20" si="1">C19/$C$10</f>
        <v>0</v>
      </c>
      <c r="E19" s="46">
        <f>COUNTIFS(CasoPrueba[[#All],[Estado Testing]],$P$29,CasoPrueba[[#All],[Prioridad]],$P$18)</f>
        <v>0</v>
      </c>
      <c r="F19" s="47">
        <f t="shared" si="1"/>
        <v>0</v>
      </c>
      <c r="G19" s="48">
        <f>COUNTIFS(CasoPrueba[[#All],[Estado Testing]],$P$30,CasoPrueba[[#All],[Prioridad]],$P$18)</f>
        <v>0</v>
      </c>
      <c r="H19" s="49">
        <f>G19/$C$10</f>
        <v>0</v>
      </c>
      <c r="I19" s="50">
        <f>COUNTIFS(CasoPrueba[[#All],[Estado Testing]],$P$27,CasoPrueba[[#All],[Prioridad]],$P$18)</f>
        <v>0</v>
      </c>
      <c r="J19" s="51">
        <f>I19/$C$10</f>
        <v>0</v>
      </c>
      <c r="K19" s="52">
        <f>COUNTIFS(CasoPrueba[[#All],[Estado Testing]],$P$31,CasoPrueba[[#All],[Prioridad]],$P$18)</f>
        <v>0</v>
      </c>
      <c r="L19" s="54">
        <f>K19/$C$10</f>
        <v>0</v>
      </c>
      <c r="M19" s="55">
        <f>COUNTIFS(CasoPrueba[[#All],[Estado Testing]],$P$29,CasoPrueba[[#All],[Prioridad]],$P$18)</f>
        <v>0</v>
      </c>
      <c r="N19" s="53">
        <f>M19/$C$10</f>
        <v>0</v>
      </c>
      <c r="O19" s="79"/>
      <c r="P19" s="21" t="s">
        <v>30</v>
      </c>
      <c r="Q19" s="20" t="s">
        <v>45</v>
      </c>
      <c r="R19" s="79"/>
    </row>
    <row r="20" spans="1:18" ht="15.75" hidden="1" thickBot="1">
      <c r="A20" s="79"/>
      <c r="B20" s="43" t="s">
        <v>30</v>
      </c>
      <c r="C20" s="44">
        <f>COUNTIFS(CasoPrueba[[#All],[Estado Testing]],$P$28,CasoPrueba[[#All],[Prioridad]],$P$19)</f>
        <v>0</v>
      </c>
      <c r="D20" s="45">
        <f t="shared" si="1"/>
        <v>0</v>
      </c>
      <c r="E20" s="46">
        <f>COUNTIFS(CasoPrueba[[#All],[Estado Testing]],$P$29,CasoPrueba[[#All],[Prioridad]],$P$19)</f>
        <v>0</v>
      </c>
      <c r="F20" s="47">
        <f t="shared" si="1"/>
        <v>0</v>
      </c>
      <c r="G20" s="48">
        <f>COUNTIFS(CasoPrueba[[#All],[Estado Testing]],$P$30,CasoPrueba[[#All],[Prioridad]],$P$19)</f>
        <v>0</v>
      </c>
      <c r="H20" s="49">
        <f>G20/$C$10</f>
        <v>0</v>
      </c>
      <c r="I20" s="50">
        <f>COUNTIFS(CasoPrueba[[#All],[Estado Testing]],$P$27,CasoPrueba[[#All],[Prioridad]],$P$19)</f>
        <v>0</v>
      </c>
      <c r="J20" s="51">
        <f>I20/$C$10</f>
        <v>0</v>
      </c>
      <c r="K20" s="52">
        <f>COUNTIFS(CasoPrueba[[#All],[Estado Testing]],$P$31,CasoPrueba[[#All],[Prioridad]],$P$19)</f>
        <v>0</v>
      </c>
      <c r="L20" s="54">
        <f>K20/$C$10</f>
        <v>0</v>
      </c>
      <c r="M20" s="55">
        <f>COUNTIFS(CasoPrueba[[#All],[Estado Testing]],$P$29,CasoPrueba[[#All],[Prioridad]],$P$19)</f>
        <v>0</v>
      </c>
      <c r="N20" s="53">
        <f>M20/$C$10</f>
        <v>0</v>
      </c>
      <c r="O20" s="79"/>
      <c r="P20" s="79"/>
      <c r="Q20" s="79"/>
      <c r="R20" s="79"/>
    </row>
    <row r="21" spans="1:18" ht="15.75" hidden="1" thickBot="1">
      <c r="A21" s="79"/>
      <c r="B21" s="62" t="s">
        <v>31</v>
      </c>
      <c r="C21" s="62">
        <f>SUM(C18:C20)</f>
        <v>0</v>
      </c>
      <c r="D21" s="63">
        <f t="shared" ref="D21:N21" si="2">SUM(D18:D20)</f>
        <v>0</v>
      </c>
      <c r="E21" s="62">
        <f t="shared" si="2"/>
        <v>0</v>
      </c>
      <c r="F21" s="63">
        <f t="shared" si="2"/>
        <v>0</v>
      </c>
      <c r="G21" s="62">
        <f t="shared" si="2"/>
        <v>0</v>
      </c>
      <c r="H21" s="63">
        <f t="shared" si="2"/>
        <v>0</v>
      </c>
      <c r="I21" s="62">
        <f t="shared" si="2"/>
        <v>0</v>
      </c>
      <c r="J21" s="63">
        <f t="shared" si="2"/>
        <v>0</v>
      </c>
      <c r="K21" s="62">
        <f>SUM(K18:K20)</f>
        <v>0</v>
      </c>
      <c r="L21" s="63">
        <f>SUM(L18:L20)</f>
        <v>0</v>
      </c>
      <c r="M21" s="62">
        <f t="shared" si="2"/>
        <v>0</v>
      </c>
      <c r="N21" s="63">
        <f t="shared" si="2"/>
        <v>0</v>
      </c>
      <c r="O21" s="79"/>
      <c r="P21" s="10" t="s">
        <v>46</v>
      </c>
      <c r="Q21" s="11" t="s">
        <v>3</v>
      </c>
      <c r="R21" s="79"/>
    </row>
    <row r="22" spans="1:18" ht="15.75" hidden="1" thickBot="1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17" t="s">
        <v>47</v>
      </c>
      <c r="Q22" s="24" t="s">
        <v>51</v>
      </c>
      <c r="R22" s="79"/>
    </row>
    <row r="23" spans="1:18" ht="30.75" hidden="1" thickBot="1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22" t="s">
        <v>48</v>
      </c>
      <c r="Q23" s="25" t="s">
        <v>50</v>
      </c>
      <c r="R23" s="79"/>
    </row>
    <row r="24" spans="1:18" ht="15.75" hidden="1" thickBot="1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23" t="s">
        <v>49</v>
      </c>
      <c r="Q24" s="25" t="s">
        <v>52</v>
      </c>
      <c r="R24" s="79"/>
    </row>
    <row r="25" spans="1:18" ht="9" hidden="1" customHeight="1" thickBot="1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</row>
    <row r="26" spans="1:18" ht="24" hidden="1" thickBot="1">
      <c r="A26" s="123" t="s">
        <v>68</v>
      </c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79"/>
      <c r="N26" s="79"/>
      <c r="O26" s="79"/>
      <c r="P26" s="6" t="s">
        <v>53</v>
      </c>
      <c r="Q26" s="7" t="s">
        <v>54</v>
      </c>
      <c r="R26" s="79"/>
    </row>
    <row r="27" spans="1:18" ht="18" hidden="1" customHeight="1" thickBot="1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79"/>
      <c r="N27" s="79"/>
      <c r="O27" s="79"/>
      <c r="P27" s="113" t="s">
        <v>22</v>
      </c>
      <c r="Q27" s="8" t="s">
        <v>66</v>
      </c>
      <c r="R27" s="79"/>
    </row>
    <row r="28" spans="1:18" ht="30.75" hidden="1" customHeight="1" thickBot="1">
      <c r="A28" s="124"/>
      <c r="B28" s="189" t="s">
        <v>69</v>
      </c>
      <c r="C28" s="189" t="s">
        <v>70</v>
      </c>
      <c r="D28" s="189"/>
      <c r="E28" s="189" t="s">
        <v>71</v>
      </c>
      <c r="F28" s="189"/>
      <c r="G28" s="124"/>
      <c r="H28" s="124"/>
      <c r="I28" s="124"/>
      <c r="J28" s="124"/>
      <c r="K28" s="124"/>
      <c r="L28" s="124"/>
      <c r="M28" s="79"/>
      <c r="N28" s="79"/>
      <c r="O28" s="79"/>
      <c r="P28" s="108" t="s">
        <v>19</v>
      </c>
      <c r="Q28" s="14" t="s">
        <v>55</v>
      </c>
      <c r="R28" s="79"/>
    </row>
    <row r="29" spans="1:18" ht="15.75" hidden="1" thickBot="1">
      <c r="A29" s="124"/>
      <c r="B29" s="189"/>
      <c r="C29" s="125" t="s">
        <v>26</v>
      </c>
      <c r="D29" s="125" t="s">
        <v>27</v>
      </c>
      <c r="E29" s="125" t="s">
        <v>26</v>
      </c>
      <c r="F29" s="125" t="s">
        <v>27</v>
      </c>
      <c r="G29" s="124"/>
      <c r="H29" s="126" t="s">
        <v>41</v>
      </c>
      <c r="I29" s="126" t="s">
        <v>28</v>
      </c>
      <c r="J29" s="126" t="s">
        <v>29</v>
      </c>
      <c r="K29" s="126" t="s">
        <v>30</v>
      </c>
      <c r="L29" s="121"/>
      <c r="M29" s="85"/>
      <c r="N29" s="79"/>
      <c r="O29" s="79"/>
      <c r="P29" s="109" t="s">
        <v>20</v>
      </c>
      <c r="Q29" s="14" t="s">
        <v>56</v>
      </c>
      <c r="R29" s="79"/>
    </row>
    <row r="30" spans="1:18" ht="33" hidden="1" customHeight="1" thickBot="1">
      <c r="A30" s="124"/>
      <c r="B30" s="127" t="s">
        <v>33</v>
      </c>
      <c r="C30" s="128">
        <f>COUNTIFS(Observaciones[[#All],[Estado]],Resumen!$P$22,Observaciones[[#All],[Severidad]],Resumen!$P$11)+COUNTIFS(Observaciones[[#All],[Estado]],$P$23,Observaciones[[#All],[Severidad]],Resumen!$P$11)</f>
        <v>0</v>
      </c>
      <c r="D30" s="129">
        <f>C30/$C$10</f>
        <v>0</v>
      </c>
      <c r="E30" s="130">
        <f>COUNTIFS(Observaciones[[#All],[Estado]],Resumen!$P$24,Observaciones[[#All],[Severidad]],Resumen!$P$11)</f>
        <v>2</v>
      </c>
      <c r="F30" s="129">
        <f>E30/$C$10</f>
        <v>0.10526315789473684</v>
      </c>
      <c r="G30" s="124"/>
      <c r="H30" s="127" t="s">
        <v>33</v>
      </c>
      <c r="I30" s="131">
        <f>COUNTIFS(Observaciones[[#All],[Severidad]],Resumen!$P$11,Observaciones[[#All],[Prioridad]],Resumen!$P$17)</f>
        <v>0</v>
      </c>
      <c r="J30" s="131">
        <f>COUNTIFS(Observaciones[[#All],[Severidad]],Resumen!$P$11,Observaciones[[#All],[Prioridad]],Resumen!$P$18)</f>
        <v>0</v>
      </c>
      <c r="K30" s="131">
        <f>COUNTIFS(Observaciones[[#All],[Severidad]],Resumen!$P$11,Observaciones[[#All],[Prioridad]],Resumen!$P$19)</f>
        <v>0</v>
      </c>
      <c r="L30" s="122"/>
      <c r="M30" s="86"/>
      <c r="N30" s="79"/>
      <c r="O30" s="79"/>
      <c r="P30" s="110" t="s">
        <v>21</v>
      </c>
      <c r="Q30" s="14" t="s">
        <v>57</v>
      </c>
      <c r="R30" s="79"/>
    </row>
    <row r="31" spans="1:18" ht="33" hidden="1" customHeight="1" thickBot="1">
      <c r="A31" s="124"/>
      <c r="B31" s="127" t="s">
        <v>35</v>
      </c>
      <c r="C31" s="128">
        <f>COUNTIFS(Observaciones[[#All],[Estado]],Resumen!$P$22,Observaciones[[#All],[Severidad]],Resumen!$P$12)+COUNTIFS(Observaciones[[#All],[Estado]],$P$23,Observaciones[[#All],[Severidad]],Resumen!$P$12)</f>
        <v>2</v>
      </c>
      <c r="D31" s="129">
        <f>C31/$C$10</f>
        <v>0.10526315789473684</v>
      </c>
      <c r="E31" s="130">
        <f>COUNTIFS(Observaciones[[#All],[Estado]],Resumen!$P$24,Observaciones[[#All],[Severidad]],Resumen!$P$12)</f>
        <v>3</v>
      </c>
      <c r="F31" s="129">
        <f>E31/$C$10</f>
        <v>0.15789473684210525</v>
      </c>
      <c r="G31" s="124"/>
      <c r="H31" s="127" t="s">
        <v>35</v>
      </c>
      <c r="I31" s="131">
        <f>COUNTIFS(Observaciones[[#All],[Severidad]],Resumen!$P$12,Observaciones[[#All],[Prioridad]],Resumen!$P$17)</f>
        <v>0</v>
      </c>
      <c r="J31" s="131">
        <f>COUNTIFS(Observaciones[[#All],[Severidad]],Resumen!$P$12,Observaciones[[#All],[Prioridad]],Resumen!$P$18)</f>
        <v>2</v>
      </c>
      <c r="K31" s="131">
        <f>COUNTIFS(Observaciones[[#All],[Severidad]],Resumen!$P$12,Observaciones[[#All],[Prioridad]],Resumen!$P$19)</f>
        <v>0</v>
      </c>
      <c r="L31" s="122"/>
      <c r="M31" s="86"/>
      <c r="N31" s="79"/>
      <c r="O31" s="79"/>
      <c r="P31" s="111" t="s">
        <v>23</v>
      </c>
      <c r="Q31" s="14" t="s">
        <v>58</v>
      </c>
      <c r="R31" s="79"/>
    </row>
    <row r="32" spans="1:18" ht="33" hidden="1" customHeight="1" thickBot="1">
      <c r="A32" s="124"/>
      <c r="B32" s="127" t="s">
        <v>37</v>
      </c>
      <c r="C32" s="132">
        <f>COUNTIFS(Observaciones[[#All],[Estado]],Resumen!$P$22,Observaciones[[#All],[Severidad]],Resumen!$P$13)+COUNTIFS(Observaciones[[#All],[Estado]],$P$23,Observaciones[[#All],[Severidad]],Resumen!$P$13)</f>
        <v>5</v>
      </c>
      <c r="D32" s="129">
        <f>C32/$C$10</f>
        <v>0.26315789473684209</v>
      </c>
      <c r="E32" s="130">
        <f>COUNTIFS(Observaciones[[#All],[Estado]],Resumen!$P$24,Observaciones[[#All],[Severidad]],Resumen!$P$13)</f>
        <v>2</v>
      </c>
      <c r="F32" s="129">
        <f>E32/$C$10</f>
        <v>0.10526315789473684</v>
      </c>
      <c r="G32" s="124"/>
      <c r="H32" s="127" t="s">
        <v>37</v>
      </c>
      <c r="I32" s="131">
        <f>COUNTIFS(Observaciones[[#All],[Severidad]],Resumen!$P$13,Observaciones[[#All],[Prioridad]],Resumen!$P$17)</f>
        <v>0</v>
      </c>
      <c r="J32" s="131">
        <f>COUNTIFS(Observaciones[[#All],[Severidad]],Resumen!$P$13,Observaciones[[#All],[Prioridad]],Resumen!$P$18)</f>
        <v>1</v>
      </c>
      <c r="K32" s="131">
        <f>COUNTIFS(Observaciones[[#All],[Severidad]],Resumen!$P$13,Observaciones[[#All],[Prioridad]],Resumen!$P$19)</f>
        <v>3</v>
      </c>
      <c r="L32" s="122"/>
      <c r="M32" s="86"/>
      <c r="N32" s="79"/>
      <c r="O32" s="79"/>
      <c r="P32" s="112" t="s">
        <v>24</v>
      </c>
      <c r="Q32" s="14" t="s">
        <v>67</v>
      </c>
    </row>
    <row r="33" spans="1:18" ht="15.75" hidden="1" thickBot="1">
      <c r="A33" s="124"/>
      <c r="B33" s="127" t="s">
        <v>39</v>
      </c>
      <c r="C33" s="132">
        <f>COUNTIFS(Observaciones[[#All],[Estado]],Resumen!$P$22,Observaciones[[#All],[Severidad]],Resumen!$P$14)+COUNTIFS(Observaciones[[#All],[Estado]],$P$23,Observaciones[[#All],[Severidad]],Resumen!$P$14)</f>
        <v>2</v>
      </c>
      <c r="D33" s="129">
        <f>C33/$C$10</f>
        <v>0.10526315789473684</v>
      </c>
      <c r="E33" s="130">
        <f>COUNTIFS(Observaciones[[#All],[Estado]],Resumen!$P$24,Observaciones[[#All],[Severidad]],Resumen!$P$14)</f>
        <v>3</v>
      </c>
      <c r="F33" s="129">
        <f>E33/$C$10</f>
        <v>0.15789473684210525</v>
      </c>
      <c r="G33" s="124"/>
      <c r="H33" s="127" t="s">
        <v>39</v>
      </c>
      <c r="I33" s="131">
        <f>COUNTIFS(Observaciones[[#All],[Severidad]],Resumen!$P$14,Observaciones[[#All],[Prioridad]],Resumen!$P$17)</f>
        <v>0</v>
      </c>
      <c r="J33" s="131">
        <f>COUNTIFS(Observaciones[[#All],[Severidad]],Resumen!$P$14,Observaciones[[#All],[Prioridad]],Resumen!$P$18)</f>
        <v>0</v>
      </c>
      <c r="K33" s="131">
        <f>COUNTIFS(Observaciones[[#All],[Severidad]],Resumen!$P$14,Observaciones[[#All],[Prioridad]],Resumen!$P$19)</f>
        <v>2</v>
      </c>
      <c r="L33" s="122"/>
      <c r="M33" s="86"/>
      <c r="N33" s="79"/>
      <c r="O33" s="79"/>
      <c r="P33" s="79"/>
      <c r="Q33" s="79"/>
      <c r="R33" s="79"/>
    </row>
    <row r="34" spans="1:18" ht="15.75" hidden="1" thickBot="1">
      <c r="A34" s="124"/>
      <c r="B34" s="127" t="s">
        <v>72</v>
      </c>
      <c r="C34" s="133">
        <f>SUM(C30:C33)</f>
        <v>9</v>
      </c>
      <c r="D34" s="134">
        <f>SUM(D30:D33)</f>
        <v>0.47368421052631576</v>
      </c>
      <c r="E34" s="133">
        <f>SUM(E30:E33)</f>
        <v>10</v>
      </c>
      <c r="F34" s="134">
        <f>SUM(F30:F33)</f>
        <v>0.52631578947368418</v>
      </c>
      <c r="G34" s="124"/>
      <c r="H34" s="127" t="s">
        <v>72</v>
      </c>
      <c r="I34" s="135">
        <f>SUM(I30:I33)</f>
        <v>0</v>
      </c>
      <c r="J34" s="135">
        <f>SUM(J30:J33)</f>
        <v>3</v>
      </c>
      <c r="K34" s="135">
        <f>SUM(K30:K33)</f>
        <v>5</v>
      </c>
      <c r="L34" s="122"/>
      <c r="M34" s="86"/>
      <c r="N34" s="79"/>
      <c r="O34" s="79"/>
      <c r="P34" s="10" t="s">
        <v>59</v>
      </c>
      <c r="Q34" s="11" t="s">
        <v>3</v>
      </c>
      <c r="R34" s="79"/>
    </row>
    <row r="35" spans="1:18" ht="33" hidden="1" customHeight="1" thickBot="1">
      <c r="A35" s="124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79"/>
      <c r="N35" s="79"/>
      <c r="O35" s="79"/>
      <c r="P35" s="26" t="s">
        <v>60</v>
      </c>
      <c r="Q35" s="27" t="s">
        <v>61</v>
      </c>
      <c r="R35" s="79"/>
    </row>
    <row r="36" spans="1:18" ht="33" hidden="1" customHeight="1" thickBot="1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28" t="s">
        <v>62</v>
      </c>
      <c r="Q36" s="29" t="s">
        <v>63</v>
      </c>
      <c r="R36" s="79"/>
    </row>
    <row r="37" spans="1:18" ht="33" hidden="1" customHeight="1" thickBot="1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30" t="s">
        <v>64</v>
      </c>
      <c r="Q37" s="29" t="s">
        <v>65</v>
      </c>
      <c r="R37" s="79"/>
    </row>
    <row r="38" spans="1:18" hidden="1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</row>
  </sheetData>
  <mergeCells count="12">
    <mergeCell ref="B28:B29"/>
    <mergeCell ref="C28:D28"/>
    <mergeCell ref="E28:F28"/>
    <mergeCell ref="G2:O2"/>
    <mergeCell ref="G4:O4"/>
    <mergeCell ref="B16:B17"/>
    <mergeCell ref="C16:D16"/>
    <mergeCell ref="E16:F16"/>
    <mergeCell ref="G16:H16"/>
    <mergeCell ref="I16:J16"/>
    <mergeCell ref="M16:N16"/>
    <mergeCell ref="K16:L16"/>
  </mergeCells>
  <conditionalFormatting sqref="G4:O4">
    <cfRule type="expression" dxfId="70" priority="1" stopIfTrue="1">
      <formula>NOT(ISERROR(SEARCH("INSATISFACTORIO",G4)))</formula>
    </cfRule>
    <cfRule type="expression" dxfId="69" priority="2" stopIfTrue="1">
      <formula>NOT(ISERROR(SEARCH("SATISFACTORIO con Observaciones",G4)))</formula>
    </cfRule>
    <cfRule type="expression" dxfId="68" priority="3" stopIfTrue="1">
      <formula>NOT(ISERROR(SEARCH("SATISFACTORIO",G4)))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R93"/>
  <sheetViews>
    <sheetView topLeftCell="A7" workbookViewId="0">
      <selection activeCell="I17" sqref="I17"/>
    </sheetView>
  </sheetViews>
  <sheetFormatPr baseColWidth="10" defaultRowHeight="15"/>
  <cols>
    <col min="1" max="1" width="4.28515625" customWidth="1"/>
    <col min="2" max="2" width="15.85546875" customWidth="1"/>
    <col min="3" max="3" width="19.42578125" customWidth="1"/>
    <col min="6" max="6" width="3.5703125" customWidth="1"/>
    <col min="7" max="7" width="15.85546875" customWidth="1"/>
    <col min="8" max="8" width="18.7109375" bestFit="1" customWidth="1"/>
    <col min="9" max="9" width="5.140625" customWidth="1"/>
    <col min="12" max="12" width="15.85546875" customWidth="1"/>
    <col min="13" max="13" width="16.42578125" bestFit="1" customWidth="1"/>
    <col min="17" max="17" width="8.140625" customWidth="1"/>
  </cols>
  <sheetData>
    <row r="1" spans="1:18" ht="21">
      <c r="A1" s="201" t="s">
        <v>114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2" spans="1:18" ht="21">
      <c r="A22" s="201" t="s">
        <v>115</v>
      </c>
      <c r="B22" s="201"/>
      <c r="C22" s="201"/>
      <c r="D22" s="201"/>
      <c r="E22" s="201"/>
      <c r="F22" s="201"/>
      <c r="G22" s="201"/>
      <c r="H22" s="201"/>
      <c r="I22" s="201"/>
      <c r="J22" s="201"/>
      <c r="K22" s="201"/>
      <c r="L22" s="201"/>
      <c r="M22" s="201"/>
      <c r="N22" s="201"/>
      <c r="O22" s="201"/>
      <c r="P22" s="201"/>
      <c r="Q22" s="201"/>
      <c r="R22" s="201"/>
    </row>
    <row r="44" spans="1:18" ht="21">
      <c r="A44" s="201" t="s">
        <v>116</v>
      </c>
      <c r="B44" s="201"/>
      <c r="C44" s="201"/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</row>
    <row r="66" spans="1:18" ht="21">
      <c r="A66" s="201" t="s">
        <v>117</v>
      </c>
      <c r="B66" s="201"/>
      <c r="C66" s="201"/>
      <c r="D66" s="201"/>
      <c r="E66" s="201"/>
      <c r="F66" s="201"/>
      <c r="G66" s="201"/>
      <c r="H66" s="201"/>
      <c r="I66" s="201"/>
      <c r="J66" s="201"/>
      <c r="K66" s="201"/>
      <c r="L66" s="201"/>
      <c r="M66" s="201"/>
      <c r="N66" s="201"/>
      <c r="O66" s="201"/>
      <c r="P66" s="201"/>
      <c r="Q66" s="201"/>
      <c r="R66" s="201"/>
    </row>
    <row r="67" spans="1:18" ht="15.75" thickBot="1"/>
    <row r="68" spans="1:18" ht="15.75" thickBot="1">
      <c r="B68" s="202" t="s">
        <v>118</v>
      </c>
      <c r="C68" s="203"/>
      <c r="D68" s="203"/>
      <c r="E68" s="203"/>
      <c r="F68" s="204"/>
      <c r="G68" s="67" t="e">
        <f>AVERAGE(Observaciones[[#All],[Tiempo de Solución (Dias)]])</f>
        <v>#REF!</v>
      </c>
      <c r="H68" s="68" t="s">
        <v>119</v>
      </c>
    </row>
    <row r="70" spans="1:18">
      <c r="B70" s="69" t="s">
        <v>120</v>
      </c>
      <c r="C70" t="s">
        <v>122</v>
      </c>
      <c r="G70" s="69" t="s">
        <v>120</v>
      </c>
      <c r="H70" t="s">
        <v>123</v>
      </c>
      <c r="L70" s="69" t="s">
        <v>120</v>
      </c>
      <c r="M70" t="s">
        <v>124</v>
      </c>
    </row>
    <row r="71" spans="1:18">
      <c r="B71" s="70" t="s">
        <v>37</v>
      </c>
      <c r="C71" s="35">
        <v>1</v>
      </c>
      <c r="G71" s="70" t="s">
        <v>28</v>
      </c>
      <c r="H71" s="35">
        <v>2</v>
      </c>
      <c r="L71" s="70" t="s">
        <v>49</v>
      </c>
      <c r="M71" s="35">
        <v>2</v>
      </c>
    </row>
    <row r="72" spans="1:18">
      <c r="B72" s="70" t="s">
        <v>39</v>
      </c>
      <c r="C72" s="35">
        <v>1</v>
      </c>
      <c r="G72" s="70" t="s">
        <v>121</v>
      </c>
      <c r="H72" s="35">
        <v>2</v>
      </c>
      <c r="L72" s="70" t="s">
        <v>121</v>
      </c>
      <c r="M72" s="35">
        <v>2</v>
      </c>
    </row>
    <row r="73" spans="1:18">
      <c r="B73" s="70" t="s">
        <v>121</v>
      </c>
      <c r="C73" s="35">
        <v>2</v>
      </c>
    </row>
    <row r="87" spans="1:18" ht="21">
      <c r="A87" s="201" t="s">
        <v>125</v>
      </c>
      <c r="B87" s="201"/>
      <c r="C87" s="201"/>
      <c r="D87" s="201"/>
      <c r="E87" s="201"/>
      <c r="F87" s="201"/>
      <c r="G87" s="201"/>
      <c r="H87" s="201"/>
      <c r="I87" s="201"/>
      <c r="J87" s="201"/>
      <c r="K87" s="201"/>
      <c r="L87" s="201"/>
      <c r="M87" s="201"/>
      <c r="N87" s="201"/>
      <c r="O87" s="201"/>
      <c r="P87" s="201"/>
      <c r="Q87" s="201"/>
      <c r="R87" s="201"/>
    </row>
    <row r="88" spans="1:18" ht="15.75" thickBot="1"/>
    <row r="89" spans="1:18" ht="15.75" thickBot="1">
      <c r="B89" s="202" t="s">
        <v>126</v>
      </c>
      <c r="C89" s="203"/>
      <c r="D89" s="203"/>
      <c r="E89" s="203"/>
      <c r="F89" s="204"/>
      <c r="G89" s="67" t="e">
        <f>AVERAGE(Consultas[[#All],[Tiempo de Solución]])</f>
        <v>#DIV/0!</v>
      </c>
      <c r="H89" s="68" t="s">
        <v>119</v>
      </c>
    </row>
    <row r="91" spans="1:18">
      <c r="B91" s="69" t="s">
        <v>120</v>
      </c>
      <c r="C91" t="s">
        <v>128</v>
      </c>
      <c r="G91" s="69" t="s">
        <v>120</v>
      </c>
      <c r="H91" t="s">
        <v>123</v>
      </c>
      <c r="L91" s="69" t="s">
        <v>120</v>
      </c>
      <c r="M91" t="s">
        <v>124</v>
      </c>
    </row>
    <row r="92" spans="1:18">
      <c r="B92" s="70" t="s">
        <v>142</v>
      </c>
      <c r="C92" s="35"/>
      <c r="G92" s="70" t="s">
        <v>143</v>
      </c>
      <c r="H92" s="35">
        <v>1</v>
      </c>
      <c r="L92" s="70" t="s">
        <v>49</v>
      </c>
      <c r="M92" s="35">
        <v>1</v>
      </c>
    </row>
    <row r="93" spans="1:18">
      <c r="B93" s="70" t="s">
        <v>121</v>
      </c>
      <c r="C93" s="35"/>
      <c r="G93" s="70" t="s">
        <v>121</v>
      </c>
      <c r="H93" s="35">
        <v>1</v>
      </c>
      <c r="L93" s="70" t="s">
        <v>121</v>
      </c>
      <c r="M93" s="35">
        <v>1</v>
      </c>
    </row>
  </sheetData>
  <mergeCells count="7">
    <mergeCell ref="A87:R87"/>
    <mergeCell ref="B89:F89"/>
    <mergeCell ref="A1:R1"/>
    <mergeCell ref="A22:R22"/>
    <mergeCell ref="A44:R44"/>
    <mergeCell ref="A66:R66"/>
    <mergeCell ref="B68:F68"/>
  </mergeCells>
  <pageMargins left="0.7" right="0.7" top="0.75" bottom="0.75" header="0.3" footer="0.3"/>
  <drawing r:id="rId7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W27"/>
  <sheetViews>
    <sheetView topLeftCell="F12" zoomScale="86" zoomScaleNormal="86" workbookViewId="0">
      <selection activeCell="Q20" sqref="Q20"/>
    </sheetView>
  </sheetViews>
  <sheetFormatPr baseColWidth="10" defaultColWidth="0" defaultRowHeight="15"/>
  <cols>
    <col min="1" max="1" width="11.7109375" style="31" customWidth="1"/>
    <col min="2" max="2" width="8.85546875" style="31" customWidth="1"/>
    <col min="3" max="3" width="36.7109375" style="31" customWidth="1"/>
    <col min="4" max="4" width="67.42578125" style="31" bestFit="1" customWidth="1"/>
    <col min="5" max="5" width="23.140625" style="31" customWidth="1"/>
    <col min="6" max="6" width="14.42578125" style="33" bestFit="1" customWidth="1"/>
    <col min="7" max="7" width="12.5703125" style="31" customWidth="1"/>
    <col min="8" max="8" width="11.42578125" style="31" customWidth="1"/>
    <col min="9" max="10" width="14.5703125" style="31" customWidth="1"/>
    <col min="11" max="11" width="13.28515625" style="31" customWidth="1"/>
    <col min="12" max="12" width="14.42578125" style="32" customWidth="1"/>
    <col min="13" max="13" width="11.42578125" style="31" customWidth="1"/>
    <col min="14" max="14" width="12.140625" style="31" customWidth="1"/>
    <col min="15" max="15" width="22.42578125" style="31" customWidth="1"/>
    <col min="16" max="16" width="53.28515625" style="31" customWidth="1"/>
    <col min="17" max="17" width="23.5703125" style="31" customWidth="1"/>
    <col min="18" max="18" width="5" style="31" customWidth="1"/>
    <col min="19" max="23" width="0" style="31" hidden="1" customWidth="1"/>
    <col min="24" max="16384" width="11.42578125" style="31" hidden="1"/>
  </cols>
  <sheetData>
    <row r="1" spans="1:18">
      <c r="A1" s="100"/>
      <c r="B1" s="100"/>
      <c r="C1" s="100"/>
      <c r="D1" s="100"/>
      <c r="E1" s="100"/>
      <c r="F1" s="104"/>
      <c r="G1" s="100"/>
      <c r="H1" s="100"/>
      <c r="I1" s="100"/>
      <c r="J1" s="100"/>
      <c r="K1" s="100"/>
      <c r="L1" s="105"/>
      <c r="M1" s="100"/>
      <c r="N1" s="100"/>
      <c r="O1" s="100"/>
      <c r="P1" s="100"/>
      <c r="Q1" s="100"/>
      <c r="R1" s="100"/>
    </row>
    <row r="2" spans="1:18" ht="15" customHeight="1">
      <c r="A2" s="100"/>
      <c r="B2" s="100"/>
      <c r="C2" s="100"/>
      <c r="D2" s="155" t="s">
        <v>9</v>
      </c>
      <c r="E2" s="156" t="s">
        <v>203</v>
      </c>
      <c r="F2" s="157" t="s">
        <v>10</v>
      </c>
      <c r="G2" s="205" t="s">
        <v>202</v>
      </c>
      <c r="H2" s="206"/>
      <c r="I2" s="206"/>
      <c r="J2" s="206"/>
      <c r="K2" s="206"/>
      <c r="L2" s="206"/>
      <c r="M2" s="206"/>
      <c r="N2" s="207"/>
      <c r="O2" s="100"/>
      <c r="P2" s="100"/>
      <c r="Q2" s="100"/>
      <c r="R2" s="100"/>
    </row>
    <row r="3" spans="1:18" s="71" customFormat="1" ht="58.5" customHeight="1">
      <c r="A3" s="100"/>
      <c r="B3" s="100"/>
      <c r="C3" s="100"/>
      <c r="D3" s="101"/>
      <c r="E3" s="102"/>
      <c r="F3" s="103"/>
      <c r="G3" s="102"/>
      <c r="H3" s="102"/>
      <c r="I3" s="102"/>
      <c r="J3" s="102"/>
      <c r="K3" s="102"/>
      <c r="L3" s="102"/>
      <c r="M3" s="102"/>
      <c r="N3" s="102"/>
      <c r="O3" s="100"/>
      <c r="P3" s="100"/>
      <c r="Q3" s="100"/>
      <c r="R3" s="100"/>
    </row>
    <row r="4" spans="1:18" s="94" customFormat="1" ht="40.5" customHeight="1">
      <c r="A4" s="148" t="s">
        <v>133</v>
      </c>
      <c r="B4" s="149" t="s">
        <v>132</v>
      </c>
      <c r="C4" s="149" t="s">
        <v>73</v>
      </c>
      <c r="D4" s="149" t="s">
        <v>74</v>
      </c>
      <c r="E4" s="149" t="s">
        <v>75</v>
      </c>
      <c r="F4" s="150" t="s">
        <v>76</v>
      </c>
      <c r="G4" s="149" t="s">
        <v>77</v>
      </c>
      <c r="H4" s="149" t="s">
        <v>78</v>
      </c>
      <c r="I4" s="151" t="s">
        <v>79</v>
      </c>
      <c r="J4" s="151" t="s">
        <v>80</v>
      </c>
      <c r="K4" s="152" t="s">
        <v>81</v>
      </c>
      <c r="L4" s="153" t="s">
        <v>82</v>
      </c>
      <c r="M4" s="154" t="s">
        <v>83</v>
      </c>
      <c r="N4" s="149" t="s">
        <v>84</v>
      </c>
      <c r="O4" s="149" t="s">
        <v>85</v>
      </c>
      <c r="P4" s="149" t="s">
        <v>86</v>
      </c>
      <c r="Q4" s="149" t="s">
        <v>87</v>
      </c>
      <c r="R4" s="106"/>
    </row>
    <row r="5" spans="1:18" s="95" customFormat="1" ht="45">
      <c r="A5" s="95" t="s">
        <v>157</v>
      </c>
      <c r="B5" s="95" t="s">
        <v>88</v>
      </c>
      <c r="C5" s="95" t="s">
        <v>188</v>
      </c>
      <c r="D5" t="s">
        <v>199</v>
      </c>
      <c r="E5" s="95" t="s">
        <v>155</v>
      </c>
      <c r="F5" s="96" t="s">
        <v>253</v>
      </c>
      <c r="G5" s="95" t="s">
        <v>24</v>
      </c>
      <c r="H5" s="95" t="s">
        <v>29</v>
      </c>
      <c r="I5" s="97">
        <v>3</v>
      </c>
      <c r="J5" s="95" t="s">
        <v>49</v>
      </c>
      <c r="L5" s="98">
        <v>40667</v>
      </c>
      <c r="M5" s="98">
        <v>40667</v>
      </c>
      <c r="N5" s="95">
        <v>0.27</v>
      </c>
      <c r="P5" s="168" t="s">
        <v>161</v>
      </c>
      <c r="Q5" s="95" t="s">
        <v>187</v>
      </c>
      <c r="R5" s="107"/>
    </row>
    <row r="6" spans="1:18" ht="60">
      <c r="A6" s="95" t="s">
        <v>137</v>
      </c>
      <c r="B6" s="95" t="s">
        <v>150</v>
      </c>
      <c r="C6" s="95" t="s">
        <v>189</v>
      </c>
      <c r="D6" t="s">
        <v>200</v>
      </c>
      <c r="E6" s="95" t="s">
        <v>155</v>
      </c>
      <c r="F6" s="96" t="s">
        <v>253</v>
      </c>
      <c r="G6" s="95" t="s">
        <v>24</v>
      </c>
      <c r="H6" s="95" t="s">
        <v>28</v>
      </c>
      <c r="I6" s="97">
        <v>2</v>
      </c>
      <c r="J6" s="95" t="s">
        <v>49</v>
      </c>
      <c r="K6" s="95"/>
      <c r="L6" s="98">
        <v>40667</v>
      </c>
      <c r="M6" s="98">
        <v>40667</v>
      </c>
      <c r="N6" s="95">
        <v>0.27</v>
      </c>
      <c r="O6" s="95"/>
      <c r="P6" s="168" t="s">
        <v>163</v>
      </c>
      <c r="Q6" s="95" t="s">
        <v>187</v>
      </c>
    </row>
    <row r="7" spans="1:18" ht="45">
      <c r="A7" s="95" t="s">
        <v>137</v>
      </c>
      <c r="B7" s="95" t="s">
        <v>151</v>
      </c>
      <c r="C7" s="95" t="s">
        <v>190</v>
      </c>
      <c r="D7" t="s">
        <v>200</v>
      </c>
      <c r="E7" s="95" t="s">
        <v>155</v>
      </c>
      <c r="F7" s="96" t="s">
        <v>158</v>
      </c>
      <c r="G7" s="95" t="s">
        <v>24</v>
      </c>
      <c r="H7" s="95" t="s">
        <v>30</v>
      </c>
      <c r="I7" s="97">
        <v>4</v>
      </c>
      <c r="J7" s="95" t="s">
        <v>47</v>
      </c>
      <c r="K7" s="95"/>
      <c r="L7" s="98">
        <v>40667</v>
      </c>
      <c r="M7" s="98">
        <v>40667</v>
      </c>
      <c r="N7" s="95">
        <v>0.27</v>
      </c>
      <c r="O7" s="95"/>
      <c r="P7" s="168" t="s">
        <v>165</v>
      </c>
      <c r="Q7" s="95" t="s">
        <v>187</v>
      </c>
    </row>
    <row r="8" spans="1:18" ht="60">
      <c r="A8" s="95" t="s">
        <v>137</v>
      </c>
      <c r="B8" s="95" t="s">
        <v>152</v>
      </c>
      <c r="C8" s="95" t="s">
        <v>191</v>
      </c>
      <c r="D8" t="s">
        <v>200</v>
      </c>
      <c r="E8" s="95" t="s">
        <v>155</v>
      </c>
      <c r="F8" s="96" t="s">
        <v>253</v>
      </c>
      <c r="G8" s="95" t="s">
        <v>24</v>
      </c>
      <c r="H8" s="95" t="s">
        <v>29</v>
      </c>
      <c r="I8" s="97">
        <v>2</v>
      </c>
      <c r="J8" s="95" t="s">
        <v>49</v>
      </c>
      <c r="K8" s="95"/>
      <c r="L8" s="98">
        <v>40667</v>
      </c>
      <c r="M8" s="98">
        <v>40667</v>
      </c>
      <c r="N8" s="95">
        <v>0.27</v>
      </c>
      <c r="O8" s="95"/>
      <c r="P8" s="168" t="s">
        <v>167</v>
      </c>
      <c r="Q8" s="95" t="s">
        <v>187</v>
      </c>
    </row>
    <row r="9" spans="1:18" ht="30">
      <c r="A9" s="95" t="s">
        <v>137</v>
      </c>
      <c r="B9" s="95" t="s">
        <v>153</v>
      </c>
      <c r="C9" s="95" t="s">
        <v>192</v>
      </c>
      <c r="D9" t="s">
        <v>199</v>
      </c>
      <c r="E9" s="95" t="s">
        <v>155</v>
      </c>
      <c r="F9" s="96" t="s">
        <v>253</v>
      </c>
      <c r="G9" s="95" t="s">
        <v>24</v>
      </c>
      <c r="H9" s="95" t="s">
        <v>29</v>
      </c>
      <c r="I9" s="97">
        <v>2</v>
      </c>
      <c r="J9" s="95" t="s">
        <v>49</v>
      </c>
      <c r="K9" s="95"/>
      <c r="L9" s="98">
        <v>40667</v>
      </c>
      <c r="M9" s="98">
        <v>40667</v>
      </c>
      <c r="N9" s="95">
        <v>0.27</v>
      </c>
      <c r="O9" s="95"/>
      <c r="P9" s="168" t="s">
        <v>169</v>
      </c>
      <c r="Q9" s="95" t="s">
        <v>187</v>
      </c>
    </row>
    <row r="10" spans="1:18" ht="75">
      <c r="A10" s="95" t="s">
        <v>137</v>
      </c>
      <c r="B10" s="95" t="s">
        <v>171</v>
      </c>
      <c r="C10" s="95" t="s">
        <v>193</v>
      </c>
      <c r="D10" t="s">
        <v>199</v>
      </c>
      <c r="E10" s="95" t="s">
        <v>155</v>
      </c>
      <c r="F10" s="96" t="s">
        <v>253</v>
      </c>
      <c r="G10" s="95" t="s">
        <v>24</v>
      </c>
      <c r="H10" s="95" t="s">
        <v>29</v>
      </c>
      <c r="I10" s="97">
        <v>3</v>
      </c>
      <c r="J10" s="95" t="s">
        <v>49</v>
      </c>
      <c r="K10" s="95"/>
      <c r="L10" s="98">
        <v>40667</v>
      </c>
      <c r="M10" s="98">
        <v>40667</v>
      </c>
      <c r="N10" s="95">
        <v>0.27</v>
      </c>
      <c r="O10" s="95"/>
      <c r="P10" s="168" t="s">
        <v>172</v>
      </c>
      <c r="Q10" s="95" t="s">
        <v>187</v>
      </c>
    </row>
    <row r="11" spans="1:18" ht="60">
      <c r="A11" s="95" t="s">
        <v>137</v>
      </c>
      <c r="B11" s="95" t="s">
        <v>174</v>
      </c>
      <c r="C11" s="95" t="s">
        <v>194</v>
      </c>
      <c r="D11" t="s">
        <v>199</v>
      </c>
      <c r="E11" s="95" t="s">
        <v>155</v>
      </c>
      <c r="F11" s="96" t="s">
        <v>253</v>
      </c>
      <c r="G11" s="95" t="s">
        <v>24</v>
      </c>
      <c r="H11" s="95" t="s">
        <v>28</v>
      </c>
      <c r="I11" s="97">
        <v>1</v>
      </c>
      <c r="J11" s="95" t="s">
        <v>49</v>
      </c>
      <c r="K11" s="95"/>
      <c r="L11" s="98">
        <v>40667</v>
      </c>
      <c r="M11" s="98">
        <v>40667</v>
      </c>
      <c r="N11" s="95">
        <v>0.27</v>
      </c>
      <c r="O11" s="95"/>
      <c r="P11" s="168" t="s">
        <v>175</v>
      </c>
      <c r="Q11" s="95" t="s">
        <v>187</v>
      </c>
    </row>
    <row r="12" spans="1:18" ht="45">
      <c r="A12" s="95" t="s">
        <v>137</v>
      </c>
      <c r="B12" s="95" t="s">
        <v>177</v>
      </c>
      <c r="C12" s="95" t="s">
        <v>195</v>
      </c>
      <c r="D12" t="s">
        <v>199</v>
      </c>
      <c r="E12" s="95" t="s">
        <v>155</v>
      </c>
      <c r="F12" s="96" t="s">
        <v>253</v>
      </c>
      <c r="G12" s="95" t="s">
        <v>24</v>
      </c>
      <c r="H12" s="95" t="s">
        <v>28</v>
      </c>
      <c r="I12" s="97">
        <v>1</v>
      </c>
      <c r="J12" s="95" t="s">
        <v>49</v>
      </c>
      <c r="K12" s="95"/>
      <c r="L12" s="98">
        <v>40667</v>
      </c>
      <c r="M12" s="98">
        <v>40667</v>
      </c>
      <c r="N12" s="95">
        <v>0.27</v>
      </c>
      <c r="O12" s="95"/>
      <c r="P12" s="168" t="s">
        <v>178</v>
      </c>
      <c r="Q12" s="95" t="s">
        <v>187</v>
      </c>
    </row>
    <row r="13" spans="1:18" ht="45">
      <c r="A13" s="95" t="s">
        <v>137</v>
      </c>
      <c r="B13" s="95" t="s">
        <v>154</v>
      </c>
      <c r="C13" s="95" t="s">
        <v>196</v>
      </c>
      <c r="D13" t="s">
        <v>199</v>
      </c>
      <c r="E13" s="95" t="s">
        <v>155</v>
      </c>
      <c r="F13" s="96" t="s">
        <v>253</v>
      </c>
      <c r="G13" s="95" t="s">
        <v>24</v>
      </c>
      <c r="H13" s="95" t="s">
        <v>30</v>
      </c>
      <c r="I13" s="97">
        <v>4</v>
      </c>
      <c r="J13" s="95" t="s">
        <v>49</v>
      </c>
      <c r="K13" s="95"/>
      <c r="L13" s="98">
        <v>40667</v>
      </c>
      <c r="M13" s="98">
        <v>40667</v>
      </c>
      <c r="N13" s="95">
        <v>0.27</v>
      </c>
      <c r="O13" s="95"/>
      <c r="P13" s="168" t="s">
        <v>180</v>
      </c>
      <c r="Q13" s="95" t="s">
        <v>187</v>
      </c>
    </row>
    <row r="14" spans="1:18" ht="30">
      <c r="A14" s="95" t="s">
        <v>137</v>
      </c>
      <c r="B14" s="95" t="s">
        <v>182</v>
      </c>
      <c r="C14" s="95" t="s">
        <v>197</v>
      </c>
      <c r="D14" s="31" t="s">
        <v>199</v>
      </c>
      <c r="E14" s="95" t="s">
        <v>155</v>
      </c>
      <c r="F14" s="96" t="s">
        <v>253</v>
      </c>
      <c r="G14" s="95" t="s">
        <v>24</v>
      </c>
      <c r="H14" s="95" t="s">
        <v>30</v>
      </c>
      <c r="I14" s="97">
        <v>4</v>
      </c>
      <c r="J14" s="95" t="s">
        <v>49</v>
      </c>
      <c r="K14" s="95"/>
      <c r="L14" s="98">
        <v>40667</v>
      </c>
      <c r="M14" s="98">
        <v>40667</v>
      </c>
      <c r="N14" s="95">
        <v>0.27</v>
      </c>
      <c r="O14" s="95"/>
      <c r="P14" s="168" t="s">
        <v>183</v>
      </c>
      <c r="Q14" s="95" t="s">
        <v>187</v>
      </c>
    </row>
    <row r="15" spans="1:18" ht="30">
      <c r="A15" s="95" t="s">
        <v>137</v>
      </c>
      <c r="B15" s="95" t="s">
        <v>185</v>
      </c>
      <c r="C15" s="95" t="s">
        <v>198</v>
      </c>
      <c r="D15" s="31" t="s">
        <v>201</v>
      </c>
      <c r="E15" s="95" t="s">
        <v>155</v>
      </c>
      <c r="F15" s="96" t="s">
        <v>159</v>
      </c>
      <c r="G15" s="95" t="s">
        <v>24</v>
      </c>
      <c r="H15" s="95" t="s">
        <v>29</v>
      </c>
      <c r="I15" s="97">
        <v>3</v>
      </c>
      <c r="J15" s="95" t="s">
        <v>47</v>
      </c>
      <c r="K15" s="95"/>
      <c r="L15" s="98">
        <v>40667</v>
      </c>
      <c r="M15" s="98">
        <v>40667</v>
      </c>
      <c r="N15" s="95">
        <v>0.27</v>
      </c>
      <c r="O15" s="95"/>
      <c r="P15" s="168" t="s">
        <v>186</v>
      </c>
      <c r="Q15" s="95" t="s">
        <v>187</v>
      </c>
    </row>
    <row r="16" spans="1:18" ht="30">
      <c r="A16" s="173" t="s">
        <v>137</v>
      </c>
      <c r="B16" s="173" t="s">
        <v>208</v>
      </c>
      <c r="C16" s="173" t="s">
        <v>211</v>
      </c>
      <c r="D16" s="174" t="s">
        <v>212</v>
      </c>
      <c r="E16" s="173" t="s">
        <v>155</v>
      </c>
      <c r="F16" s="96" t="s">
        <v>253</v>
      </c>
      <c r="G16" s="176" t="s">
        <v>24</v>
      </c>
      <c r="H16" s="173" t="s">
        <v>213</v>
      </c>
      <c r="I16" s="176">
        <v>4</v>
      </c>
      <c r="J16" s="173" t="s">
        <v>49</v>
      </c>
      <c r="K16" s="173"/>
      <c r="L16" s="177">
        <f>General!$A$10</f>
        <v>40667</v>
      </c>
      <c r="M16" s="177">
        <v>40667</v>
      </c>
      <c r="N16" s="173">
        <v>0.27</v>
      </c>
      <c r="O16" s="173"/>
      <c r="P16" s="170" t="s">
        <v>209</v>
      </c>
      <c r="Q16" s="173" t="str">
        <f>CONCATENATE(General!$B$7," ",General!$B$6)</f>
        <v>Daniella Valdez Sandra Tovar</v>
      </c>
    </row>
    <row r="17" spans="1:17" ht="30">
      <c r="A17" s="173" t="s">
        <v>137</v>
      </c>
      <c r="B17" s="173" t="s">
        <v>216</v>
      </c>
      <c r="C17" s="173" t="s">
        <v>246</v>
      </c>
      <c r="D17" s="174" t="s">
        <v>199</v>
      </c>
      <c r="E17" s="173" t="s">
        <v>155</v>
      </c>
      <c r="F17" s="175" t="s">
        <v>159</v>
      </c>
      <c r="G17" s="176" t="s">
        <v>24</v>
      </c>
      <c r="H17" s="170" t="s">
        <v>30</v>
      </c>
      <c r="I17" s="170">
        <v>3</v>
      </c>
      <c r="J17" s="173" t="s">
        <v>47</v>
      </c>
      <c r="K17" s="173"/>
      <c r="L17" s="177">
        <f>General!$A$10</f>
        <v>40667</v>
      </c>
      <c r="M17" s="177">
        <v>40681</v>
      </c>
      <c r="N17" s="173">
        <v>0.27</v>
      </c>
      <c r="O17" s="173"/>
      <c r="P17" s="170" t="s">
        <v>226</v>
      </c>
      <c r="Q17" s="173" t="str">
        <f>CONCATENATE(General!$B$7," ",General!$B$6)</f>
        <v>Daniella Valdez Sandra Tovar</v>
      </c>
    </row>
    <row r="18" spans="1:17" ht="33.75">
      <c r="A18" s="173" t="s">
        <v>137</v>
      </c>
      <c r="B18" s="173" t="s">
        <v>237</v>
      </c>
      <c r="C18" s="173" t="s">
        <v>247</v>
      </c>
      <c r="D18" s="174" t="s">
        <v>199</v>
      </c>
      <c r="E18" s="173" t="s">
        <v>155</v>
      </c>
      <c r="F18" s="175" t="s">
        <v>159</v>
      </c>
      <c r="G18" s="176" t="s">
        <v>24</v>
      </c>
      <c r="H18" s="170" t="s">
        <v>30</v>
      </c>
      <c r="I18" s="170">
        <v>4</v>
      </c>
      <c r="J18" s="173" t="s">
        <v>47</v>
      </c>
      <c r="K18" s="173"/>
      <c r="L18" s="177">
        <f>General!$A$10</f>
        <v>40667</v>
      </c>
      <c r="M18" s="177">
        <v>40682</v>
      </c>
      <c r="N18" s="173">
        <v>0.27</v>
      </c>
      <c r="O18" s="173"/>
      <c r="P18" s="176" t="s">
        <v>243</v>
      </c>
      <c r="Q18" s="173" t="str">
        <f>CONCATENATE(General!$B$7," ",General!$B$6)</f>
        <v>Daniella Valdez Sandra Tovar</v>
      </c>
    </row>
    <row r="19" spans="1:17" ht="22.5">
      <c r="A19" s="173" t="s">
        <v>137</v>
      </c>
      <c r="B19" s="173" t="s">
        <v>238</v>
      </c>
      <c r="C19" s="173" t="s">
        <v>248</v>
      </c>
      <c r="D19" s="174" t="s">
        <v>199</v>
      </c>
      <c r="E19" s="173" t="s">
        <v>155</v>
      </c>
      <c r="F19" s="175" t="s">
        <v>159</v>
      </c>
      <c r="G19" s="176" t="s">
        <v>24</v>
      </c>
      <c r="H19" s="170" t="s">
        <v>29</v>
      </c>
      <c r="I19" s="170">
        <v>2</v>
      </c>
      <c r="J19" s="173" t="s">
        <v>47</v>
      </c>
      <c r="K19" s="173"/>
      <c r="L19" s="177">
        <f>General!$A$10</f>
        <v>40667</v>
      </c>
      <c r="M19" s="177">
        <v>40683</v>
      </c>
      <c r="N19" s="173">
        <v>0.27</v>
      </c>
      <c r="O19" s="173"/>
      <c r="P19" s="176" t="s">
        <v>244</v>
      </c>
      <c r="Q19" s="173" t="str">
        <f>CONCATENATE(General!$B$7," ",General!$B$6)</f>
        <v>Daniella Valdez Sandra Tovar</v>
      </c>
    </row>
    <row r="20" spans="1:17" ht="33.75">
      <c r="A20" s="173" t="s">
        <v>137</v>
      </c>
      <c r="B20" s="173" t="s">
        <v>239</v>
      </c>
      <c r="C20" s="173" t="s">
        <v>249</v>
      </c>
      <c r="D20" s="174" t="s">
        <v>199</v>
      </c>
      <c r="E20" s="173" t="s">
        <v>155</v>
      </c>
      <c r="F20" s="175" t="s">
        <v>159</v>
      </c>
      <c r="G20" s="176" t="s">
        <v>24</v>
      </c>
      <c r="H20" s="170" t="s">
        <v>30</v>
      </c>
      <c r="I20" s="170">
        <v>3</v>
      </c>
      <c r="J20" s="173" t="s">
        <v>47</v>
      </c>
      <c r="K20" s="173"/>
      <c r="L20" s="177">
        <f>General!$A$10</f>
        <v>40667</v>
      </c>
      <c r="M20" s="177">
        <v>40684</v>
      </c>
      <c r="N20" s="173">
        <v>0.27</v>
      </c>
      <c r="O20" s="173"/>
      <c r="P20" s="176" t="s">
        <v>227</v>
      </c>
      <c r="Q20" s="173" t="str">
        <f>CONCATENATE(General!$B$7," ",General!$B$6)</f>
        <v>Daniella Valdez Sandra Tovar</v>
      </c>
    </row>
    <row r="21" spans="1:17" ht="22.5">
      <c r="A21" s="173" t="s">
        <v>137</v>
      </c>
      <c r="B21" s="173" t="s">
        <v>240</v>
      </c>
      <c r="C21" s="173" t="s">
        <v>250</v>
      </c>
      <c r="D21" s="174" t="s">
        <v>199</v>
      </c>
      <c r="E21" s="173" t="s">
        <v>155</v>
      </c>
      <c r="F21" s="175" t="s">
        <v>159</v>
      </c>
      <c r="G21" s="176" t="s">
        <v>24</v>
      </c>
      <c r="H21" s="170" t="s">
        <v>29</v>
      </c>
      <c r="I21" s="170">
        <v>3</v>
      </c>
      <c r="J21" s="173" t="s">
        <v>47</v>
      </c>
      <c r="K21" s="173"/>
      <c r="L21" s="177">
        <f>General!$A$10</f>
        <v>40667</v>
      </c>
      <c r="M21" s="177">
        <v>40685</v>
      </c>
      <c r="N21" s="173">
        <v>0.27</v>
      </c>
      <c r="O21" s="173"/>
      <c r="P21" s="176" t="s">
        <v>245</v>
      </c>
      <c r="Q21" s="173" t="str">
        <f>CONCATENATE(General!$B$7," ",General!$B$6)</f>
        <v>Daniella Valdez Sandra Tovar</v>
      </c>
    </row>
    <row r="22" spans="1:17" ht="22.5">
      <c r="A22" s="173" t="s">
        <v>137</v>
      </c>
      <c r="B22" s="173" t="s">
        <v>241</v>
      </c>
      <c r="C22" s="173" t="s">
        <v>251</v>
      </c>
      <c r="D22" s="174" t="s">
        <v>199</v>
      </c>
      <c r="E22" s="173" t="s">
        <v>155</v>
      </c>
      <c r="F22" s="175" t="s">
        <v>159</v>
      </c>
      <c r="G22" s="176" t="s">
        <v>24</v>
      </c>
      <c r="H22" s="170" t="s">
        <v>30</v>
      </c>
      <c r="I22" s="170">
        <v>3</v>
      </c>
      <c r="J22" s="173" t="s">
        <v>47</v>
      </c>
      <c r="K22" s="173"/>
      <c r="L22" s="177">
        <f>General!$A$10</f>
        <v>40667</v>
      </c>
      <c r="M22" s="177">
        <v>40686</v>
      </c>
      <c r="N22" s="173">
        <v>0.27</v>
      </c>
      <c r="O22" s="173"/>
      <c r="P22" s="176" t="s">
        <v>228</v>
      </c>
      <c r="Q22" s="173" t="str">
        <f>CONCATENATE(General!$B$7," ",General!$B$6)</f>
        <v>Daniella Valdez Sandra Tovar</v>
      </c>
    </row>
    <row r="23" spans="1:17" ht="33.75">
      <c r="A23" s="173" t="s">
        <v>137</v>
      </c>
      <c r="B23" s="173" t="s">
        <v>242</v>
      </c>
      <c r="C23" s="173" t="s">
        <v>252</v>
      </c>
      <c r="D23" s="174" t="s">
        <v>199</v>
      </c>
      <c r="E23" s="173" t="s">
        <v>155</v>
      </c>
      <c r="F23" s="175" t="s">
        <v>159</v>
      </c>
      <c r="G23" s="176" t="s">
        <v>24</v>
      </c>
      <c r="H23" s="170" t="s">
        <v>29</v>
      </c>
      <c r="I23" s="170">
        <v>2</v>
      </c>
      <c r="J23" s="173" t="s">
        <v>47</v>
      </c>
      <c r="K23" s="173"/>
      <c r="L23" s="177">
        <f>General!$A$10</f>
        <v>40667</v>
      </c>
      <c r="M23" s="177">
        <v>40687</v>
      </c>
      <c r="N23" s="173">
        <v>0.27</v>
      </c>
      <c r="O23" s="173"/>
      <c r="P23" s="176" t="s">
        <v>229</v>
      </c>
      <c r="Q23" s="173" t="str">
        <f>CONCATENATE(General!$B$7," ",General!$B$6)</f>
        <v>Daniella Valdez Sandra Tovar</v>
      </c>
    </row>
    <row r="24" spans="1:17">
      <c r="P24" s="170"/>
    </row>
    <row r="25" spans="1:17">
      <c r="P25" s="170"/>
    </row>
    <row r="26" spans="1:17">
      <c r="P26" s="170"/>
    </row>
    <row r="27" spans="1:17">
      <c r="P27" s="170"/>
    </row>
  </sheetData>
  <scenarios current="0" show="0">
    <scenario name="Registro de Incidencia" locked="1" count="1" user="oecastillom" comment="Creado por oecastillom el 09/02/2011">
      <inputCells r="J5" val="&quot;Abierta&quot;"/>
    </scenario>
  </scenarios>
  <mergeCells count="1">
    <mergeCell ref="G2:N2"/>
  </mergeCells>
  <dataValidations count="2">
    <dataValidation type="list" allowBlank="1" showInputMessage="1" showErrorMessage="1" sqref="G5:G23">
      <formula1>Resumen!$P$27:$P$32</formula1>
    </dataValidation>
    <dataValidation type="list" allowBlank="1" showInputMessage="1" showErrorMessage="1" sqref="H5:H16">
      <formula1>Resumen!$P$17:$P$19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XFC21"/>
  <sheetViews>
    <sheetView tabSelected="1" zoomScale="85" zoomScaleNormal="85" workbookViewId="0">
      <selection activeCell="H5" sqref="H5"/>
    </sheetView>
  </sheetViews>
  <sheetFormatPr baseColWidth="10" defaultColWidth="0" defaultRowHeight="15"/>
  <cols>
    <col min="1" max="1" width="12.7109375" style="77" customWidth="1"/>
    <col min="2" max="5" width="12.7109375" style="34" customWidth="1"/>
    <col min="6" max="7" width="12.7109375" style="78" customWidth="1"/>
    <col min="8" max="8" width="13.28515625" style="99" customWidth="1"/>
    <col min="9" max="9" width="44.140625" style="34" customWidth="1"/>
    <col min="10" max="10" width="40.42578125" style="34" customWidth="1"/>
    <col min="11" max="11" width="12.7109375" style="31" customWidth="1"/>
    <col min="12" max="12" width="13.85546875" style="31" customWidth="1"/>
    <col min="13" max="16383" width="11.42578125" style="31" hidden="1"/>
    <col min="16384" max="16384" width="3.7109375" style="31" hidden="1" customWidth="1"/>
  </cols>
  <sheetData>
    <row r="1" spans="1:14" customFormat="1" ht="31.5">
      <c r="A1" s="208" t="s">
        <v>96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N1" s="31" t="s">
        <v>130</v>
      </c>
    </row>
    <row r="2" spans="1:14" s="76" customFormat="1" ht="38.25">
      <c r="A2" s="158" t="s">
        <v>89</v>
      </c>
      <c r="B2" s="159" t="s">
        <v>90</v>
      </c>
      <c r="C2" s="159" t="s">
        <v>78</v>
      </c>
      <c r="D2" s="159" t="s">
        <v>79</v>
      </c>
      <c r="E2" s="159" t="s">
        <v>91</v>
      </c>
      <c r="F2" s="160" t="s">
        <v>92</v>
      </c>
      <c r="G2" s="160" t="s">
        <v>93</v>
      </c>
      <c r="H2" s="160" t="s">
        <v>127</v>
      </c>
      <c r="I2" s="159" t="s">
        <v>3</v>
      </c>
      <c r="J2" s="159" t="s">
        <v>94</v>
      </c>
      <c r="K2" s="161" t="s">
        <v>103</v>
      </c>
      <c r="L2" s="161" t="s">
        <v>141</v>
      </c>
      <c r="N2" s="31" t="s">
        <v>131</v>
      </c>
    </row>
    <row r="3" spans="1:14" ht="60" hidden="1">
      <c r="A3" s="77" t="s">
        <v>160</v>
      </c>
      <c r="B3" s="34" t="s">
        <v>88</v>
      </c>
      <c r="C3" s="34" t="e">
        <f>VLOOKUP([1]!Observaciones[Caso de Prueba],[1]!CasoPrueba[[#All],[Código CP]:[Prioridad]],7,TRUE)</f>
        <v>#REF!</v>
      </c>
      <c r="D3" s="34" t="s">
        <v>37</v>
      </c>
      <c r="E3" s="34" t="s">
        <v>49</v>
      </c>
      <c r="F3" s="78">
        <v>40667</v>
      </c>
      <c r="G3" s="78">
        <v>40681</v>
      </c>
      <c r="I3" s="168" t="s">
        <v>161</v>
      </c>
      <c r="J3" s="34" t="s">
        <v>214</v>
      </c>
      <c r="K3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3" s="34" t="e">
        <f>LOOKUP([1]!Observaciones[[#This Row],[Caso de Prueba]],[1]!CasoPrueba[Código CP],[1]!CasoPrueba[Código de REQ])</f>
        <v>#REF!</v>
      </c>
    </row>
    <row r="4" spans="1:14" ht="75" hidden="1">
      <c r="A4" s="77" t="s">
        <v>162</v>
      </c>
      <c r="B4" s="34" t="s">
        <v>150</v>
      </c>
      <c r="C4" s="34" t="e">
        <f>VLOOKUP([1]!Observaciones[Caso de Prueba],[1]!CasoPrueba[[#All],[Código CP]:[Prioridad]],7,TRUE)</f>
        <v>#REF!</v>
      </c>
      <c r="D4" s="34" t="s">
        <v>35</v>
      </c>
      <c r="E4" s="34" t="s">
        <v>49</v>
      </c>
      <c r="F4" s="78">
        <v>40667</v>
      </c>
      <c r="G4" s="78">
        <v>40681</v>
      </c>
      <c r="I4" s="168" t="s">
        <v>163</v>
      </c>
      <c r="J4" s="34" t="s">
        <v>215</v>
      </c>
      <c r="K4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4" s="34" t="e">
        <f>LOOKUP([1]!Observaciones[[#This Row],[Caso de Prueba]],[1]!CasoPrueba[Código CP],[1]!CasoPrueba[Código de REQ])</f>
        <v>#REF!</v>
      </c>
    </row>
    <row r="5" spans="1:14" ht="120">
      <c r="A5" s="77" t="s">
        <v>164</v>
      </c>
      <c r="B5" s="34" t="s">
        <v>151</v>
      </c>
      <c r="C5" s="34" t="e">
        <f>VLOOKUP([1]!Observaciones[Caso de Prueba],[1]!CasoPrueba[[#All],[Código CP]:[Prioridad]],7,TRUE)</f>
        <v>#REF!</v>
      </c>
      <c r="D5" s="34" t="s">
        <v>39</v>
      </c>
      <c r="E5" s="34" t="s">
        <v>47</v>
      </c>
      <c r="F5" s="78">
        <v>40667</v>
      </c>
      <c r="I5" s="211" t="s">
        <v>217</v>
      </c>
      <c r="J5" s="212"/>
      <c r="K5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5" s="34" t="e">
        <f>LOOKUP([1]!Observaciones[[#This Row],[Caso de Prueba]],[1]!CasoPrueba[Código CP],[1]!CasoPrueba[Código de REQ])</f>
        <v>#REF!</v>
      </c>
    </row>
    <row r="6" spans="1:14" ht="75" hidden="1">
      <c r="A6" s="77" t="s">
        <v>166</v>
      </c>
      <c r="B6" s="34" t="s">
        <v>152</v>
      </c>
      <c r="C6" s="34" t="e">
        <f>VLOOKUP([1]!Observaciones[Caso de Prueba],[1]!CasoPrueba[[#All],[Código CP]:[Prioridad]],7,TRUE)</f>
        <v>#REF!</v>
      </c>
      <c r="D6" s="34" t="s">
        <v>35</v>
      </c>
      <c r="E6" s="34" t="s">
        <v>49</v>
      </c>
      <c r="F6" s="78">
        <v>40667</v>
      </c>
      <c r="G6" s="78">
        <v>40681</v>
      </c>
      <c r="I6" s="168" t="s">
        <v>167</v>
      </c>
      <c r="J6" s="34" t="s">
        <v>225</v>
      </c>
      <c r="K6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6" s="34" t="e">
        <f>LOOKUP([1]!Observaciones[[#This Row],[Caso de Prueba]],[1]!CasoPrueba[Código CP],[1]!CasoPrueba[Código de REQ])</f>
        <v>#REF!</v>
      </c>
    </row>
    <row r="7" spans="1:14" ht="30" hidden="1">
      <c r="A7" s="77" t="s">
        <v>168</v>
      </c>
      <c r="B7" s="34" t="s">
        <v>153</v>
      </c>
      <c r="C7" s="34" t="e">
        <f>VLOOKUP([1]!Observaciones[Caso de Prueba],[1]!CasoPrueba[[#All],[Código CP]:[Prioridad]],7,TRUE)</f>
        <v>#REF!</v>
      </c>
      <c r="D7" s="34" t="s">
        <v>35</v>
      </c>
      <c r="E7" s="34" t="s">
        <v>49</v>
      </c>
      <c r="F7" s="78">
        <v>40667</v>
      </c>
      <c r="G7" s="78">
        <v>40681</v>
      </c>
      <c r="I7" s="168" t="s">
        <v>169</v>
      </c>
      <c r="J7" s="34" t="s">
        <v>218</v>
      </c>
      <c r="K7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7" s="34" t="e">
        <f>LOOKUP([1]!Observaciones[[#This Row],[Caso de Prueba]],[1]!CasoPrueba[Código CP],[1]!CasoPrueba[Código de REQ])</f>
        <v>#REF!</v>
      </c>
    </row>
    <row r="8" spans="1:14" ht="105" hidden="1">
      <c r="A8" s="77" t="s">
        <v>170</v>
      </c>
      <c r="B8" s="34" t="s">
        <v>171</v>
      </c>
      <c r="C8" s="34" t="e">
        <f>VLOOKUP([1]!Observaciones[Caso de Prueba],[1]!CasoPrueba[[#All],[Código CP]:[Prioridad]],7,TRUE)</f>
        <v>#REF!</v>
      </c>
      <c r="D8" s="34" t="s">
        <v>37</v>
      </c>
      <c r="E8" s="34" t="s">
        <v>49</v>
      </c>
      <c r="F8" s="78">
        <v>40667</v>
      </c>
      <c r="G8" s="78">
        <v>40681</v>
      </c>
      <c r="I8" s="168" t="s">
        <v>172</v>
      </c>
      <c r="J8" s="34" t="s">
        <v>219</v>
      </c>
      <c r="K8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8" s="34" t="e">
        <f>LOOKUP([1]!Observaciones[[#This Row],[Caso de Prueba]],[1]!CasoPrueba[Código CP],[1]!CasoPrueba[Código de REQ])</f>
        <v>#REF!</v>
      </c>
    </row>
    <row r="9" spans="1:14" ht="60" hidden="1">
      <c r="A9" s="77" t="s">
        <v>173</v>
      </c>
      <c r="B9" s="34" t="s">
        <v>174</v>
      </c>
      <c r="C9" s="34" t="e">
        <f>VLOOKUP([1]!Observaciones[Caso de Prueba],[1]!CasoPrueba[[#All],[Código CP]:[Prioridad]],7,TRUE)</f>
        <v>#REF!</v>
      </c>
      <c r="D9" s="34" t="s">
        <v>33</v>
      </c>
      <c r="E9" s="34" t="s">
        <v>49</v>
      </c>
      <c r="F9" s="78">
        <v>40667</v>
      </c>
      <c r="G9" s="78">
        <v>40681</v>
      </c>
      <c r="I9" s="168" t="s">
        <v>220</v>
      </c>
      <c r="J9" s="34" t="s">
        <v>221</v>
      </c>
      <c r="K9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9" s="34" t="e">
        <f>LOOKUP([1]!Observaciones[[#This Row],[Caso de Prueba]],[1]!CasoPrueba[Código CP],[1]!CasoPrueba[Código de REQ])</f>
        <v>#REF!</v>
      </c>
    </row>
    <row r="10" spans="1:14" ht="45" hidden="1">
      <c r="A10" s="77" t="s">
        <v>176</v>
      </c>
      <c r="B10" s="34" t="s">
        <v>177</v>
      </c>
      <c r="C10" s="34" t="e">
        <f>VLOOKUP([1]!Observaciones[Caso de Prueba],[1]!CasoPrueba[[#All],[Código CP]:[Prioridad]],7,TRUE)</f>
        <v>#REF!</v>
      </c>
      <c r="D10" s="34" t="s">
        <v>33</v>
      </c>
      <c r="E10" s="34" t="s">
        <v>49</v>
      </c>
      <c r="F10" s="78">
        <v>40667</v>
      </c>
      <c r="G10" s="78">
        <v>40681</v>
      </c>
      <c r="I10" s="168" t="s">
        <v>178</v>
      </c>
      <c r="J10" s="34" t="s">
        <v>222</v>
      </c>
      <c r="K10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0" s="34" t="e">
        <f>LOOKUP([1]!Observaciones[[#This Row],[Caso de Prueba]],[1]!CasoPrueba[Código CP],[1]!CasoPrueba[Código de REQ])</f>
        <v>#REF!</v>
      </c>
    </row>
    <row r="11" spans="1:14" ht="60" hidden="1">
      <c r="A11" s="77" t="s">
        <v>179</v>
      </c>
      <c r="B11" s="34" t="s">
        <v>154</v>
      </c>
      <c r="C11" s="34" t="e">
        <f>VLOOKUP([1]!Observaciones[Caso de Prueba],[1]!CasoPrueba[[#All],[Código CP]:[Prioridad]],7,TRUE)</f>
        <v>#REF!</v>
      </c>
      <c r="D11" s="34" t="s">
        <v>39</v>
      </c>
      <c r="E11" s="34" t="s">
        <v>49</v>
      </c>
      <c r="F11" s="78">
        <v>40667</v>
      </c>
      <c r="G11" s="78">
        <v>40681</v>
      </c>
      <c r="I11" s="168" t="s">
        <v>180</v>
      </c>
      <c r="J11" s="34" t="s">
        <v>222</v>
      </c>
      <c r="K11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1" s="34" t="e">
        <f>LOOKUP([1]!Observaciones[[#This Row],[Caso de Prueba]],[1]!CasoPrueba[Código CP],[1]!CasoPrueba[Código de REQ])</f>
        <v>#REF!</v>
      </c>
    </row>
    <row r="12" spans="1:14" ht="30" hidden="1">
      <c r="A12" s="77" t="s">
        <v>181</v>
      </c>
      <c r="B12" s="34" t="s">
        <v>182</v>
      </c>
      <c r="C12" s="34" t="e">
        <f>VLOOKUP([1]!Observaciones[Caso de Prueba],[1]!CasoPrueba[[#All],[Código CP]:[Prioridad]],7,TRUE)</f>
        <v>#REF!</v>
      </c>
      <c r="D12" s="34" t="s">
        <v>39</v>
      </c>
      <c r="E12" s="34" t="s">
        <v>49</v>
      </c>
      <c r="F12" s="78">
        <v>40667</v>
      </c>
      <c r="G12" s="78">
        <v>40681</v>
      </c>
      <c r="I12" s="168" t="s">
        <v>183</v>
      </c>
      <c r="J12" s="34" t="s">
        <v>223</v>
      </c>
      <c r="K12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2" s="34" t="e">
        <f>LOOKUP([1]!Observaciones[[#This Row],[Caso de Prueba]],[1]!CasoPrueba[Código CP],[1]!CasoPrueba[Código de REQ])</f>
        <v>#REF!</v>
      </c>
    </row>
    <row r="13" spans="1:14" ht="45">
      <c r="A13" s="77" t="s">
        <v>184</v>
      </c>
      <c r="B13" s="34" t="s">
        <v>185</v>
      </c>
      <c r="C13" s="34" t="e">
        <f>VLOOKUP([1]!Observaciones[Caso de Prueba],[1]!CasoPrueba[[#All],[Código CP]:[Prioridad]],7,TRUE)</f>
        <v>#REF!</v>
      </c>
      <c r="D13" s="34" t="s">
        <v>37</v>
      </c>
      <c r="E13" s="34" t="s">
        <v>47</v>
      </c>
      <c r="F13" s="78">
        <v>40667</v>
      </c>
      <c r="I13" s="211" t="s">
        <v>186</v>
      </c>
      <c r="J13" s="217" t="s">
        <v>260</v>
      </c>
      <c r="K13" s="34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3" s="34" t="e">
        <f>LOOKUP([1]!Observaciones[[#This Row],[Caso de Prueba]],[1]!CasoPrueba[Código CP],[1]!CasoPrueba[Código de REQ])</f>
        <v>#REF!</v>
      </c>
    </row>
    <row r="14" spans="1:14" ht="45" hidden="1">
      <c r="A14" s="178" t="s">
        <v>207</v>
      </c>
      <c r="B14" s="179" t="s">
        <v>208</v>
      </c>
      <c r="C14" s="179" t="s">
        <v>30</v>
      </c>
      <c r="D14" s="179" t="s">
        <v>39</v>
      </c>
      <c r="E14" s="179" t="s">
        <v>49</v>
      </c>
      <c r="F14" s="180">
        <v>40667</v>
      </c>
      <c r="G14" s="180">
        <v>40681</v>
      </c>
      <c r="H14" s="181"/>
      <c r="I14" s="179" t="s">
        <v>209</v>
      </c>
      <c r="J14" s="179" t="s">
        <v>224</v>
      </c>
      <c r="K14" s="179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4" s="179" t="s">
        <v>210</v>
      </c>
    </row>
    <row r="15" spans="1:14" ht="30">
      <c r="A15" s="169" t="s">
        <v>230</v>
      </c>
      <c r="B15" s="170" t="s">
        <v>216</v>
      </c>
      <c r="C15" s="170" t="s">
        <v>30</v>
      </c>
      <c r="D15" s="170" t="s">
        <v>37</v>
      </c>
      <c r="E15" s="170" t="s">
        <v>47</v>
      </c>
      <c r="F15" s="171">
        <v>40681</v>
      </c>
      <c r="G15" s="171"/>
      <c r="H15" s="172"/>
      <c r="I15" s="215" t="s">
        <v>226</v>
      </c>
      <c r="J15" s="215" t="s">
        <v>259</v>
      </c>
      <c r="K15" s="170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5" s="170" t="e">
        <f>LOOKUP([1]!Observaciones[[#This Row],[Caso de Prueba]],[1]!CasoPrueba[Código CP],[1]!CasoPrueba[Código de REQ])</f>
        <v>#REF!</v>
      </c>
    </row>
    <row r="16" spans="1:14" ht="60">
      <c r="A16" s="169" t="s">
        <v>231</v>
      </c>
      <c r="B16" s="170" t="s">
        <v>237</v>
      </c>
      <c r="C16" s="170" t="s">
        <v>30</v>
      </c>
      <c r="D16" s="170" t="s">
        <v>39</v>
      </c>
      <c r="E16" s="170" t="s">
        <v>47</v>
      </c>
      <c r="F16" s="171">
        <v>40682</v>
      </c>
      <c r="G16" s="171"/>
      <c r="H16" s="172"/>
      <c r="I16" s="215" t="s">
        <v>243</v>
      </c>
      <c r="J16" s="215" t="s">
        <v>259</v>
      </c>
      <c r="K16" s="170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6" s="170" t="e">
        <f>LOOKUP([1]!Observaciones[[#This Row],[Caso de Prueba]],[1]!CasoPrueba[Código CP],[1]!CasoPrueba[Código de REQ])</f>
        <v>#REF!</v>
      </c>
    </row>
    <row r="17" spans="1:12" ht="60">
      <c r="A17" s="169" t="s">
        <v>232</v>
      </c>
      <c r="B17" s="170" t="s">
        <v>238</v>
      </c>
      <c r="C17" s="170" t="s">
        <v>29</v>
      </c>
      <c r="D17" s="170" t="s">
        <v>35</v>
      </c>
      <c r="E17" s="170" t="s">
        <v>47</v>
      </c>
      <c r="F17" s="171">
        <v>40683</v>
      </c>
      <c r="G17" s="171"/>
      <c r="H17" s="172"/>
      <c r="I17" s="216" t="s">
        <v>244</v>
      </c>
      <c r="J17" s="215" t="s">
        <v>258</v>
      </c>
      <c r="K17" s="170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7" s="170" t="e">
        <f>LOOKUP([1]!Observaciones[[#This Row],[Caso de Prueba]],[1]!CasoPrueba[Código CP],[1]!CasoPrueba[Código de REQ])</f>
        <v>#REF!</v>
      </c>
    </row>
    <row r="18" spans="1:12" ht="60">
      <c r="A18" s="169" t="s">
        <v>233</v>
      </c>
      <c r="B18" s="170" t="s">
        <v>239</v>
      </c>
      <c r="C18" s="170" t="s">
        <v>30</v>
      </c>
      <c r="D18" s="170" t="s">
        <v>37</v>
      </c>
      <c r="E18" s="170" t="s">
        <v>47</v>
      </c>
      <c r="F18" s="171">
        <v>40684</v>
      </c>
      <c r="G18" s="171"/>
      <c r="H18" s="172"/>
      <c r="I18" s="215" t="s">
        <v>227</v>
      </c>
      <c r="J18" s="215" t="s">
        <v>257</v>
      </c>
      <c r="K18" s="170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8" s="170" t="e">
        <f>LOOKUP([1]!Observaciones[[#This Row],[Caso de Prueba]],[1]!CasoPrueba[Código CP],[1]!CasoPrueba[Código de REQ])</f>
        <v>#REF!</v>
      </c>
    </row>
    <row r="19" spans="1:12" ht="45">
      <c r="A19" s="169" t="s">
        <v>234</v>
      </c>
      <c r="B19" s="170" t="s">
        <v>240</v>
      </c>
      <c r="C19" s="170" t="s">
        <v>29</v>
      </c>
      <c r="D19" s="170" t="s">
        <v>37</v>
      </c>
      <c r="E19" s="170" t="s">
        <v>47</v>
      </c>
      <c r="F19" s="171">
        <v>40685</v>
      </c>
      <c r="G19" s="171"/>
      <c r="H19" s="172"/>
      <c r="I19" s="215" t="s">
        <v>245</v>
      </c>
      <c r="J19" s="215" t="s">
        <v>256</v>
      </c>
      <c r="K19" s="170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19" s="170" t="e">
        <f>LOOKUP([1]!Observaciones[[#This Row],[Caso de Prueba]],[1]!CasoPrueba[Código CP],[1]!CasoPrueba[Código de REQ])</f>
        <v>#REF!</v>
      </c>
    </row>
    <row r="20" spans="1:12" ht="45">
      <c r="A20" s="169" t="s">
        <v>235</v>
      </c>
      <c r="B20" s="170" t="s">
        <v>241</v>
      </c>
      <c r="C20" s="170" t="s">
        <v>30</v>
      </c>
      <c r="D20" s="170" t="s">
        <v>37</v>
      </c>
      <c r="E20" s="170" t="s">
        <v>47</v>
      </c>
      <c r="F20" s="171">
        <v>40686</v>
      </c>
      <c r="G20" s="171"/>
      <c r="H20" s="172"/>
      <c r="I20" s="213" t="s">
        <v>228</v>
      </c>
      <c r="J20" s="213" t="s">
        <v>255</v>
      </c>
      <c r="K20" s="170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20" s="170" t="e">
        <f>LOOKUP([1]!Observaciones[[#This Row],[Caso de Prueba]],[1]!CasoPrueba[Código CP],[1]!CasoPrueba[Código de REQ])</f>
        <v>#REF!</v>
      </c>
    </row>
    <row r="21" spans="1:12" ht="75">
      <c r="A21" s="169" t="s">
        <v>236</v>
      </c>
      <c r="B21" s="170" t="s">
        <v>242</v>
      </c>
      <c r="C21" s="170" t="s">
        <v>29</v>
      </c>
      <c r="D21" s="170" t="s">
        <v>35</v>
      </c>
      <c r="E21" s="170" t="s">
        <v>47</v>
      </c>
      <c r="F21" s="171">
        <v>40687</v>
      </c>
      <c r="G21" s="171"/>
      <c r="H21" s="172"/>
      <c r="I21" s="214" t="s">
        <v>229</v>
      </c>
      <c r="J21" s="214" t="s">
        <v>254</v>
      </c>
      <c r="K21" s="170" t="e">
        <f>IF(([1]!Observaciones[[#This Row],[Fecha Levantamiento]]-[1]!Observaciones[[#This Row],[Fecha Detección]])&gt;=0,[1]!Observaciones[[#This Row],[Fecha Levantamiento]]-[1]!Observaciones[[#This Row],[Fecha Detección]]+1,0)</f>
        <v>#REF!</v>
      </c>
      <c r="L21" s="170" t="e">
        <f>LOOKUP([1]!Observaciones[[#This Row],[Caso de Prueba]],[1]!CasoPrueba[Código CP],[1]!CasoPrueba[Código de REQ])</f>
        <v>#REF!</v>
      </c>
    </row>
  </sheetData>
  <mergeCells count="1">
    <mergeCell ref="A1:K1"/>
  </mergeCells>
  <dataValidations count="1">
    <dataValidation type="list" allowBlank="1" showInputMessage="1" showErrorMessage="1" sqref="H3:H21">
      <formula1>$N$1:$N$2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XFD3"/>
  <sheetViews>
    <sheetView zoomScale="90" zoomScaleNormal="90" workbookViewId="0">
      <selection activeCell="J3" sqref="A3:J3"/>
    </sheetView>
  </sheetViews>
  <sheetFormatPr baseColWidth="10" defaultColWidth="0" defaultRowHeight="15"/>
  <cols>
    <col min="1" max="4" width="13.28515625" style="31" customWidth="1"/>
    <col min="5" max="5" width="18.28515625" style="31" customWidth="1"/>
    <col min="6" max="7" width="13.28515625" style="32" customWidth="1"/>
    <col min="8" max="9" width="38.140625" style="31" customWidth="1"/>
    <col min="10" max="10" width="13.28515625" style="31" customWidth="1"/>
    <col min="11" max="11" width="11.42578125" style="31" customWidth="1"/>
    <col min="12" max="16384" width="0" style="31" hidden="1"/>
  </cols>
  <sheetData>
    <row r="1" spans="1:13 16384:16384" customFormat="1" ht="31.5">
      <c r="A1" s="209" t="s">
        <v>102</v>
      </c>
      <c r="B1" s="209"/>
      <c r="C1" s="209"/>
      <c r="D1" s="209"/>
      <c r="E1" s="209"/>
      <c r="F1" s="209"/>
      <c r="G1" s="209"/>
      <c r="H1" s="209"/>
      <c r="I1" s="209"/>
      <c r="J1" s="209"/>
      <c r="K1" s="36"/>
      <c r="L1" s="36"/>
      <c r="M1" t="s">
        <v>144</v>
      </c>
      <c r="XFD1" s="31"/>
    </row>
    <row r="2" spans="1:13 16384:16384" ht="39.75" customHeight="1">
      <c r="A2" s="162" t="s">
        <v>97</v>
      </c>
      <c r="B2" s="162" t="s">
        <v>90</v>
      </c>
      <c r="C2" s="162" t="s">
        <v>78</v>
      </c>
      <c r="D2" s="162" t="s">
        <v>91</v>
      </c>
      <c r="E2" s="162" t="s">
        <v>127</v>
      </c>
      <c r="F2" s="163" t="s">
        <v>98</v>
      </c>
      <c r="G2" s="163" t="s">
        <v>99</v>
      </c>
      <c r="H2" s="162" t="s">
        <v>100</v>
      </c>
      <c r="I2" s="162" t="s">
        <v>101</v>
      </c>
      <c r="J2" s="162" t="s">
        <v>95</v>
      </c>
      <c r="M2" s="31" t="s">
        <v>145</v>
      </c>
    </row>
    <row r="3" spans="1:13 16384:16384" ht="41.25" customHeight="1">
      <c r="C3" s="34"/>
      <c r="J3" s="34"/>
      <c r="M3" s="31" t="s">
        <v>146</v>
      </c>
    </row>
  </sheetData>
  <mergeCells count="1">
    <mergeCell ref="A1:J1"/>
  </mergeCells>
  <dataValidations count="2">
    <dataValidation type="list" allowBlank="1" showInputMessage="1" showErrorMessage="1" sqref="D3">
      <formula1>Resumen!$P$22:$P$24</formula1>
    </dataValidation>
    <dataValidation type="list" allowBlank="1" showInputMessage="1" showErrorMessage="1" sqref="E3">
      <formula1>$M$1:$M$3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A1:P8"/>
  <sheetViews>
    <sheetView zoomScale="85" zoomScaleNormal="85" workbookViewId="0">
      <selection activeCell="O6" sqref="O6"/>
    </sheetView>
  </sheetViews>
  <sheetFormatPr baseColWidth="10" defaultColWidth="0" defaultRowHeight="15"/>
  <cols>
    <col min="1" max="1" width="4.42578125" customWidth="1"/>
    <col min="2" max="4" width="11.42578125" customWidth="1"/>
    <col min="5" max="5" width="11.85546875" bestFit="1" customWidth="1"/>
    <col min="6" max="8" width="11.42578125" customWidth="1"/>
    <col min="9" max="9" width="14.140625" customWidth="1"/>
    <col min="10" max="10" width="8.85546875" customWidth="1"/>
    <col min="11" max="16" width="11.42578125" customWidth="1"/>
    <col min="17" max="16384" width="11.42578125" hidden="1"/>
  </cols>
  <sheetData>
    <row r="1" spans="2:15" ht="27" customHeight="1"/>
    <row r="2" spans="2:15">
      <c r="B2" s="210" t="s">
        <v>110</v>
      </c>
      <c r="C2" s="210"/>
      <c r="D2" s="210"/>
      <c r="E2" s="210"/>
      <c r="F2" s="210"/>
      <c r="G2" s="210"/>
      <c r="H2" s="210"/>
      <c r="I2" s="210"/>
      <c r="J2" s="210"/>
      <c r="L2" s="210" t="s">
        <v>111</v>
      </c>
      <c r="M2" s="210"/>
      <c r="N2" s="210"/>
      <c r="O2" s="210"/>
    </row>
    <row r="3" spans="2:15" ht="26.25" thickBot="1">
      <c r="B3" s="164" t="s">
        <v>112</v>
      </c>
      <c r="C3" s="166" t="s">
        <v>104</v>
      </c>
      <c r="D3" s="166" t="s">
        <v>105</v>
      </c>
      <c r="E3" s="166" t="s">
        <v>21</v>
      </c>
      <c r="F3" s="166" t="s">
        <v>22</v>
      </c>
      <c r="G3" s="166" t="s">
        <v>23</v>
      </c>
      <c r="H3" s="167" t="s">
        <v>24</v>
      </c>
      <c r="I3" s="167" t="s">
        <v>106</v>
      </c>
      <c r="J3" s="167" t="s">
        <v>109</v>
      </c>
      <c r="L3" s="164" t="s">
        <v>112</v>
      </c>
      <c r="M3" s="165" t="s">
        <v>107</v>
      </c>
      <c r="N3" s="166" t="s">
        <v>108</v>
      </c>
      <c r="O3" s="167" t="s">
        <v>109</v>
      </c>
    </row>
    <row r="4" spans="2:15">
      <c r="B4" s="37"/>
      <c r="C4" s="39"/>
      <c r="D4" s="39"/>
      <c r="E4" s="39"/>
      <c r="F4" s="39"/>
      <c r="G4" s="39"/>
      <c r="H4" s="39"/>
      <c r="I4" s="39"/>
      <c r="J4" s="41"/>
      <c r="L4" s="37">
        <v>40667</v>
      </c>
      <c r="M4" s="39">
        <v>12</v>
      </c>
      <c r="N4" s="39"/>
      <c r="O4" s="38">
        <v>12</v>
      </c>
    </row>
    <row r="5" spans="2:15">
      <c r="B5" s="72"/>
      <c r="C5" s="40"/>
      <c r="D5" s="40"/>
      <c r="E5" s="40"/>
      <c r="F5" s="40"/>
      <c r="G5" s="40"/>
      <c r="H5" s="40"/>
      <c r="I5" s="40"/>
      <c r="J5" s="42"/>
      <c r="L5" s="73">
        <v>40681</v>
      </c>
      <c r="M5" s="40">
        <v>9</v>
      </c>
      <c r="N5" s="40">
        <v>10</v>
      </c>
      <c r="O5" s="75">
        <v>19</v>
      </c>
    </row>
    <row r="6" spans="2:15">
      <c r="B6" s="72"/>
      <c r="C6" s="64"/>
      <c r="D6" s="64"/>
      <c r="E6" s="64"/>
      <c r="F6" s="65"/>
      <c r="G6" s="66"/>
      <c r="H6" s="40"/>
      <c r="I6" s="40"/>
      <c r="J6" s="42"/>
      <c r="L6" s="73"/>
      <c r="M6" s="74"/>
      <c r="N6" s="74"/>
      <c r="O6" s="75"/>
    </row>
    <row r="7" spans="2:15">
      <c r="B7" s="72"/>
      <c r="C7" s="64"/>
      <c r="D7" s="64"/>
      <c r="E7" s="64"/>
      <c r="F7" s="65"/>
      <c r="G7" s="66"/>
      <c r="H7" s="40"/>
      <c r="I7" s="40"/>
      <c r="J7" s="42"/>
      <c r="L7" s="73"/>
      <c r="M7" s="74"/>
      <c r="N7" s="74"/>
      <c r="O7" s="75"/>
    </row>
    <row r="8" spans="2:15">
      <c r="B8" s="72"/>
      <c r="C8" s="64"/>
      <c r="D8" s="64"/>
      <c r="E8" s="64"/>
      <c r="F8" s="65"/>
      <c r="G8" s="66"/>
      <c r="H8" s="40"/>
      <c r="I8" s="40"/>
      <c r="J8" s="42"/>
      <c r="L8" s="73"/>
      <c r="M8" s="74"/>
      <c r="N8" s="74"/>
      <c r="O8" s="75"/>
    </row>
  </sheetData>
  <mergeCells count="2">
    <mergeCell ref="B2:J2"/>
    <mergeCell ref="L2:O2"/>
  </mergeCells>
  <pageMargins left="0.7" right="0.7" top="0.75" bottom="0.75" header="0.3" footer="0.3"/>
  <legacy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General</vt:lpstr>
      <vt:lpstr>Resumen</vt:lpstr>
      <vt:lpstr>CuadrosResumen</vt:lpstr>
      <vt:lpstr>Iteracion</vt:lpstr>
      <vt:lpstr>Observaciones</vt:lpstr>
      <vt:lpstr>Consultas</vt:lpstr>
      <vt:lpstr>HistoricoAvance</vt:lpstr>
    </vt:vector>
  </TitlesOfParts>
  <Company>Delaware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oecastillom</dc:creator>
  <cp:lastModifiedBy>USER</cp:lastModifiedBy>
  <dcterms:created xsi:type="dcterms:W3CDTF">2011-02-09T13:28:15Z</dcterms:created>
  <dcterms:modified xsi:type="dcterms:W3CDTF">2011-05-19T02:05:38Z</dcterms:modified>
</cp:coreProperties>
</file>